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usaku.hayashi\project\hysr\"/>
    </mc:Choice>
  </mc:AlternateContent>
  <xr:revisionPtr revIDLastSave="0" documentId="13_ncr:1_{2A8C33B9-C045-481C-9CAE-C105F99D36B6}" xr6:coauthVersionLast="45" xr6:coauthVersionMax="45" xr10:uidLastSave="{00000000-0000-0000-0000-000000000000}"/>
  <bookViews>
    <workbookView xWindow="-120" yWindow="-120" windowWidth="29040" windowHeight="15840" firstSheet="11" activeTab="15" xr2:uid="{00000000-000D-0000-FFFF-FFFF00000000}"/>
  </bookViews>
  <sheets>
    <sheet name="Sheet1 (3)" sheetId="6" r:id="rId1"/>
    <sheet name="Sheet1" sheetId="1" r:id="rId2"/>
    <sheet name="決定係数" sheetId="2" r:id="rId3"/>
    <sheet name="全確率の公式" sheetId="3" r:id="rId4"/>
    <sheet name="Sheet1 (2)" sheetId="5" r:id="rId5"/>
    <sheet name="超幾何分布" sheetId="7" r:id="rId6"/>
    <sheet name="二項分布" sheetId="8" r:id="rId7"/>
    <sheet name="ポアソン分布" sheetId="9" r:id="rId8"/>
    <sheet name="幾何分布" sheetId="11" r:id="rId9"/>
    <sheet name="負の二項分布" sheetId="12" r:id="rId10"/>
    <sheet name="離散型一様分布" sheetId="13" r:id="rId11"/>
    <sheet name="正規分布" sheetId="15" r:id="rId12"/>
    <sheet name="指数分布" sheetId="16" r:id="rId13"/>
    <sheet name="Γ分布" sheetId="17" r:id="rId14"/>
    <sheet name="β分布" sheetId="18" r:id="rId15"/>
    <sheet name="同時確率分布" sheetId="19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19" l="1" a="1"/>
  <c r="D18" i="19" s="1"/>
  <c r="P5" i="19" a="1"/>
  <c r="P5" i="19" s="1"/>
  <c r="D5" i="19" l="1"/>
  <c r="E5" i="19"/>
  <c r="F5" i="19"/>
  <c r="G5" i="19"/>
  <c r="H5" i="19"/>
  <c r="I5" i="19"/>
  <c r="J5" i="19"/>
  <c r="K5" i="19"/>
  <c r="L5" i="19"/>
  <c r="E6" i="19"/>
  <c r="F6" i="19"/>
  <c r="G6" i="19"/>
  <c r="H6" i="19"/>
  <c r="I6" i="19"/>
  <c r="J6" i="19"/>
  <c r="K6" i="19"/>
  <c r="L6" i="19"/>
  <c r="F7" i="19"/>
  <c r="G7" i="19"/>
  <c r="H7" i="19"/>
  <c r="I7" i="19"/>
  <c r="J7" i="19"/>
  <c r="K7" i="19"/>
  <c r="L7" i="19"/>
  <c r="G8" i="19"/>
  <c r="H8" i="19"/>
  <c r="I8" i="19"/>
  <c r="J8" i="19"/>
  <c r="K8" i="19"/>
  <c r="L8" i="19"/>
  <c r="H9" i="19"/>
  <c r="I9" i="19"/>
  <c r="J9" i="19"/>
  <c r="K9" i="19"/>
  <c r="L9" i="19"/>
  <c r="I10" i="19"/>
  <c r="J10" i="19"/>
  <c r="K10" i="19"/>
  <c r="L10" i="19"/>
  <c r="J11" i="19"/>
  <c r="M11" i="19" s="1"/>
  <c r="K11" i="19"/>
  <c r="L11" i="19"/>
  <c r="K12" i="19"/>
  <c r="L12" i="19"/>
  <c r="L13" i="19"/>
  <c r="M13" i="19" s="1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B16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5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" i="18"/>
  <c r="B10" i="18"/>
  <c r="B10" i="17"/>
  <c r="M12" i="19" l="1"/>
  <c r="M9" i="19"/>
  <c r="H14" i="19"/>
  <c r="M5" i="19"/>
  <c r="D14" i="19"/>
  <c r="K14" i="19"/>
  <c r="M7" i="19"/>
  <c r="J14" i="19"/>
  <c r="M8" i="19"/>
  <c r="L14" i="19"/>
  <c r="M6" i="19"/>
  <c r="I14" i="19"/>
  <c r="E14" i="19"/>
  <c r="G14" i="19"/>
  <c r="M10" i="19"/>
  <c r="F14" i="19"/>
  <c r="B11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B15" i="17"/>
  <c r="B39" i="17"/>
  <c r="B71" i="17"/>
  <c r="B103" i="17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" i="16"/>
  <c r="C10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26" i="15"/>
  <c r="C12" i="15"/>
  <c r="C11" i="15"/>
  <c r="B16" i="15"/>
  <c r="C16" i="15" s="1"/>
  <c r="B17" i="15"/>
  <c r="B18" i="15"/>
  <c r="B19" i="15"/>
  <c r="B20" i="15"/>
  <c r="B21" i="15"/>
  <c r="B22" i="15"/>
  <c r="B23" i="15"/>
  <c r="B24" i="15"/>
  <c r="B25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C12" i="13"/>
  <c r="C11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6" i="13"/>
  <c r="C16" i="13" s="1"/>
  <c r="C12" i="12"/>
  <c r="C11" i="12"/>
  <c r="N5" i="19" l="1"/>
  <c r="L16" i="19"/>
  <c r="J16" i="19"/>
  <c r="D16" i="19"/>
  <c r="D15" i="19"/>
  <c r="I16" i="19" s="1"/>
  <c r="M14" i="19"/>
  <c r="B95" i="17"/>
  <c r="B63" i="17"/>
  <c r="B31" i="17"/>
  <c r="B87" i="17"/>
  <c r="B55" i="17"/>
  <c r="B23" i="17"/>
  <c r="B111" i="17"/>
  <c r="B79" i="17"/>
  <c r="B47" i="17"/>
  <c r="B109" i="17"/>
  <c r="B101" i="17"/>
  <c r="B93" i="17"/>
  <c r="B85" i="17"/>
  <c r="B77" i="17"/>
  <c r="B69" i="17"/>
  <c r="B61" i="17"/>
  <c r="B53" i="17"/>
  <c r="B45" i="17"/>
  <c r="B37" i="17"/>
  <c r="B29" i="17"/>
  <c r="B21" i="17"/>
  <c r="B115" i="17"/>
  <c r="B107" i="17"/>
  <c r="B99" i="17"/>
  <c r="B91" i="17"/>
  <c r="B83" i="17"/>
  <c r="B75" i="17"/>
  <c r="B67" i="17"/>
  <c r="B59" i="17"/>
  <c r="B51" i="17"/>
  <c r="B43" i="17"/>
  <c r="B35" i="17"/>
  <c r="B27" i="17"/>
  <c r="B19" i="17"/>
  <c r="B113" i="17"/>
  <c r="B105" i="17"/>
  <c r="B97" i="17"/>
  <c r="B89" i="17"/>
  <c r="B81" i="17"/>
  <c r="B73" i="17"/>
  <c r="B65" i="17"/>
  <c r="B57" i="17"/>
  <c r="B49" i="17"/>
  <c r="B41" i="17"/>
  <c r="B33" i="17"/>
  <c r="B25" i="17"/>
  <c r="B114" i="17"/>
  <c r="B110" i="17"/>
  <c r="B106" i="17"/>
  <c r="B102" i="17"/>
  <c r="B98" i="17"/>
  <c r="B94" i="17"/>
  <c r="B90" i="17"/>
  <c r="B86" i="17"/>
  <c r="B82" i="17"/>
  <c r="B78" i="17"/>
  <c r="B74" i="17"/>
  <c r="B70" i="17"/>
  <c r="B66" i="17"/>
  <c r="B62" i="17"/>
  <c r="B58" i="17"/>
  <c r="B54" i="17"/>
  <c r="B50" i="17"/>
  <c r="B46" i="17"/>
  <c r="B42" i="17"/>
  <c r="B38" i="17"/>
  <c r="B34" i="17"/>
  <c r="B30" i="17"/>
  <c r="B26" i="17"/>
  <c r="B22" i="17"/>
  <c r="B18" i="17"/>
  <c r="B17" i="17"/>
  <c r="B112" i="17"/>
  <c r="B108" i="17"/>
  <c r="B104" i="17"/>
  <c r="B100" i="17"/>
  <c r="B96" i="17"/>
  <c r="B92" i="17"/>
  <c r="B88" i="17"/>
  <c r="B84" i="17"/>
  <c r="B80" i="17"/>
  <c r="B76" i="17"/>
  <c r="B72" i="17"/>
  <c r="B68" i="17"/>
  <c r="B64" i="17"/>
  <c r="B60" i="17"/>
  <c r="B56" i="17"/>
  <c r="B52" i="17"/>
  <c r="B48" i="17"/>
  <c r="B44" i="17"/>
  <c r="B40" i="17"/>
  <c r="B36" i="17"/>
  <c r="B32" i="17"/>
  <c r="B28" i="17"/>
  <c r="B24" i="17"/>
  <c r="B20" i="17"/>
  <c r="B16" i="17"/>
  <c r="C17" i="15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7" i="13"/>
  <c r="B16" i="12"/>
  <c r="C16" i="12" s="1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C12" i="11"/>
  <c r="C11" i="11"/>
  <c r="B36" i="11" a="1"/>
  <c r="B90" i="11" a="1"/>
  <c r="B79" i="11" a="1"/>
  <c r="B33" i="11" a="1"/>
  <c r="B85" i="11" a="1"/>
  <c r="B72" i="11" a="1"/>
  <c r="B24" i="11" a="1"/>
  <c r="B91" i="11" a="1"/>
  <c r="B68" i="11" a="1"/>
  <c r="B38" i="11" a="1"/>
  <c r="B94" i="11" a="1"/>
  <c r="B83" i="11" a="1"/>
  <c r="B35" i="11" a="1"/>
  <c r="B89" i="11" a="1"/>
  <c r="B76" i="11" a="1"/>
  <c r="B34" i="11" a="1"/>
  <c r="B21" i="11" a="1"/>
  <c r="B116" i="11" a="1"/>
  <c r="B52" i="11" a="1"/>
  <c r="B114" i="11" a="1"/>
  <c r="B103" i="11" a="1"/>
  <c r="B47" i="11" a="1"/>
  <c r="B109" i="11" a="1"/>
  <c r="B42" i="11" a="1"/>
  <c r="B97" i="11" a="1"/>
  <c r="B106" i="11" a="1"/>
  <c r="B88" i="11" a="1"/>
  <c r="B100" i="11" a="1"/>
  <c r="B99" i="11" a="1"/>
  <c r="B92" i="11" a="1"/>
  <c r="B39" i="11" a="1"/>
  <c r="B55" i="11" a="1"/>
  <c r="B44" i="11" a="1"/>
  <c r="B46" i="11" a="1"/>
  <c r="B18" i="11" a="1"/>
  <c r="B58" i="11" a="1"/>
  <c r="B43" i="11" a="1"/>
  <c r="B111" i="11" a="1"/>
  <c r="B53" i="11" a="1"/>
  <c r="B115" i="11" a="1"/>
  <c r="B104" i="11" a="1"/>
  <c r="B86" i="11" a="1"/>
  <c r="B65" i="11" a="1"/>
  <c r="B20" i="11" a="1"/>
  <c r="B62" i="11" a="1"/>
  <c r="B51" i="11" a="1"/>
  <c r="B17" i="11" a="1"/>
  <c r="B57" i="11" a="1"/>
  <c r="B28" i="11" a="1"/>
  <c r="B108" i="11" a="1"/>
  <c r="B102" i="11" a="1"/>
  <c r="B81" i="11" a="1"/>
  <c r="B32" i="11" a="1"/>
  <c r="B82" i="11" a="1"/>
  <c r="B71" i="11" a="1"/>
  <c r="B29" i="11" a="1"/>
  <c r="B77" i="11" a="1"/>
  <c r="B64" i="11" a="1"/>
  <c r="B107" i="11" a="1"/>
  <c r="B16" i="11" a="1"/>
  <c r="B41" i="11" a="1"/>
  <c r="B54" i="11" a="1"/>
  <c r="B48" i="11" a="1"/>
  <c r="B45" i="11" a="1"/>
  <c r="B70" i="11" a="1"/>
  <c r="B22" i="11" a="1"/>
  <c r="B19" i="11" a="1"/>
  <c r="B27" i="11" a="1"/>
  <c r="B26" i="11" a="1"/>
  <c r="B74" i="11" a="1"/>
  <c r="B63" i="11" a="1"/>
  <c r="B23" i="11" a="1"/>
  <c r="B69" i="11" a="1"/>
  <c r="B56" i="11" a="1"/>
  <c r="B80" i="11" a="1"/>
  <c r="B59" i="11" a="1"/>
  <c r="B113" i="11" a="1"/>
  <c r="B30" i="11" a="1"/>
  <c r="B78" i="11" a="1"/>
  <c r="B67" i="11" a="1"/>
  <c r="B25" i="11" a="1"/>
  <c r="B73" i="11" a="1"/>
  <c r="B60" i="11" a="1"/>
  <c r="B112" i="11" a="1"/>
  <c r="B75" i="11" a="1"/>
  <c r="B50" i="11" a="1"/>
  <c r="B40" i="11" a="1"/>
  <c r="B98" i="11" a="1"/>
  <c r="B87" i="11" a="1"/>
  <c r="B37" i="11" a="1"/>
  <c r="B93" i="11" a="1"/>
  <c r="B96" i="11" a="1"/>
  <c r="B49" i="11" a="1"/>
  <c r="B95" i="11" a="1"/>
  <c r="B101" i="11" a="1"/>
  <c r="B31" i="11" a="1"/>
  <c r="B110" i="11" a="1"/>
  <c r="B105" i="11" a="1"/>
  <c r="B66" i="11" a="1"/>
  <c r="B61" i="11" a="1"/>
  <c r="B84" i="11" a="1"/>
  <c r="K16" i="19" l="1"/>
  <c r="E16" i="19"/>
  <c r="F16" i="19"/>
  <c r="G16" i="19"/>
  <c r="H16" i="19"/>
  <c r="C18" i="13"/>
  <c r="C17" i="12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B116" i="11"/>
  <c r="B112" i="11"/>
  <c r="B108" i="11"/>
  <c r="B104" i="11"/>
  <c r="B100" i="11"/>
  <c r="B96" i="11"/>
  <c r="B92" i="11"/>
  <c r="B88" i="11"/>
  <c r="B84" i="11"/>
  <c r="B80" i="11"/>
  <c r="B76" i="11"/>
  <c r="B72" i="11"/>
  <c r="B68" i="11"/>
  <c r="B64" i="11"/>
  <c r="B60" i="11"/>
  <c r="B56" i="11"/>
  <c r="B50" i="11"/>
  <c r="B44" i="11"/>
  <c r="B28" i="11"/>
  <c r="B115" i="11"/>
  <c r="B113" i="11"/>
  <c r="B109" i="11"/>
  <c r="B105" i="11"/>
  <c r="B101" i="11"/>
  <c r="B97" i="11"/>
  <c r="B93" i="11"/>
  <c r="B89" i="11"/>
  <c r="B85" i="11"/>
  <c r="B81" i="11"/>
  <c r="B77" i="11"/>
  <c r="B73" i="11"/>
  <c r="B69" i="11"/>
  <c r="B65" i="11"/>
  <c r="B61" i="11"/>
  <c r="B57" i="11"/>
  <c r="B53" i="11"/>
  <c r="B49" i="11"/>
  <c r="B47" i="11"/>
  <c r="B45" i="11"/>
  <c r="B41" i="11"/>
  <c r="B39" i="11"/>
  <c r="B37" i="11"/>
  <c r="B35" i="11"/>
  <c r="B33" i="11"/>
  <c r="B31" i="11"/>
  <c r="B29" i="11"/>
  <c r="B25" i="11"/>
  <c r="B23" i="11"/>
  <c r="B21" i="11"/>
  <c r="B19" i="11"/>
  <c r="B17" i="11"/>
  <c r="B111" i="11"/>
  <c r="B107" i="11"/>
  <c r="B103" i="11"/>
  <c r="B99" i="11"/>
  <c r="B95" i="11"/>
  <c r="B91" i="11"/>
  <c r="B87" i="11"/>
  <c r="B83" i="11"/>
  <c r="B79" i="11"/>
  <c r="B75" i="11"/>
  <c r="B71" i="11"/>
  <c r="B67" i="11"/>
  <c r="B63" i="11"/>
  <c r="B59" i="11"/>
  <c r="B55" i="11"/>
  <c r="B51" i="11"/>
  <c r="B43" i="11"/>
  <c r="B27" i="11"/>
  <c r="B114" i="11"/>
  <c r="B110" i="11"/>
  <c r="B106" i="11"/>
  <c r="B102" i="11"/>
  <c r="B98" i="11"/>
  <c r="B94" i="11"/>
  <c r="B90" i="11"/>
  <c r="B86" i="11"/>
  <c r="B82" i="11"/>
  <c r="B78" i="11"/>
  <c r="B74" i="11"/>
  <c r="B70" i="11"/>
  <c r="B66" i="11"/>
  <c r="B62" i="11"/>
  <c r="B58" i="11"/>
  <c r="B54" i="11"/>
  <c r="B52" i="11"/>
  <c r="B48" i="11"/>
  <c r="B46" i="11"/>
  <c r="B42" i="11"/>
  <c r="B40" i="11"/>
  <c r="B38" i="11"/>
  <c r="B36" i="11"/>
  <c r="B34" i="11"/>
  <c r="B32" i="11"/>
  <c r="B30" i="11"/>
  <c r="B26" i="11"/>
  <c r="B24" i="11"/>
  <c r="B22" i="11"/>
  <c r="B20" i="11"/>
  <c r="B18" i="11"/>
  <c r="B16" i="11"/>
  <c r="C11" i="8"/>
  <c r="C12" i="8" s="1"/>
  <c r="C12" i="7"/>
  <c r="C11" i="7"/>
  <c r="C12" i="9"/>
  <c r="C11" i="9"/>
  <c r="B16" i="9"/>
  <c r="C16" i="9" s="1"/>
  <c r="C17" i="9" s="1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C19" i="13" l="1"/>
  <c r="C16" i="11"/>
  <c r="C17" i="11" s="1"/>
  <c r="C18" i="9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20" i="13" l="1"/>
  <c r="C18" i="11"/>
  <c r="B16" i="8"/>
  <c r="C16" i="8" s="1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6" i="7"/>
  <c r="C21" i="13" l="1"/>
  <c r="C19" i="11"/>
  <c r="C17" i="8"/>
  <c r="C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C22" i="13" l="1"/>
  <c r="C20" i="11"/>
  <c r="C18" i="8"/>
  <c r="C17" i="7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23" i="13" l="1"/>
  <c r="C21" i="11"/>
  <c r="C19" i="8"/>
  <c r="C24" i="13" l="1"/>
  <c r="C22" i="11"/>
  <c r="C20" i="8"/>
  <c r="C25" i="13" l="1"/>
  <c r="C23" i="11"/>
  <c r="C21" i="8"/>
  <c r="C26" i="13" l="1"/>
  <c r="C24" i="11"/>
  <c r="C22" i="8"/>
  <c r="C27" i="13" l="1"/>
  <c r="C25" i="11"/>
  <c r="C23" i="8"/>
  <c r="C28" i="13" l="1"/>
  <c r="C26" i="11"/>
  <c r="C24" i="8"/>
  <c r="C29" i="13" l="1"/>
  <c r="C27" i="11"/>
  <c r="C25" i="8"/>
  <c r="C30" i="13" l="1"/>
  <c r="C28" i="11"/>
  <c r="C26" i="8"/>
  <c r="C31" i="13" l="1"/>
  <c r="C29" i="11"/>
  <c r="C27" i="8"/>
  <c r="C32" i="13" l="1"/>
  <c r="C30" i="11"/>
  <c r="C28" i="8"/>
  <c r="C33" i="13" l="1"/>
  <c r="C31" i="11"/>
  <c r="C29" i="8"/>
  <c r="C34" i="13" l="1"/>
  <c r="C32" i="11"/>
  <c r="C30" i="8"/>
  <c r="C35" i="13" l="1"/>
  <c r="C33" i="11"/>
  <c r="C31" i="8"/>
  <c r="C36" i="13" l="1"/>
  <c r="C34" i="11"/>
  <c r="C32" i="8"/>
  <c r="C37" i="13" l="1"/>
  <c r="C35" i="11"/>
  <c r="C33" i="8"/>
  <c r="C38" i="13" l="1"/>
  <c r="C36" i="11"/>
  <c r="C34" i="8"/>
  <c r="C39" i="13" l="1"/>
  <c r="C37" i="11"/>
  <c r="C35" i="8"/>
  <c r="C40" i="13" l="1"/>
  <c r="C38" i="11"/>
  <c r="C36" i="8"/>
  <c r="C41" i="13" l="1"/>
  <c r="C39" i="11"/>
  <c r="C37" i="8"/>
  <c r="C42" i="13" l="1"/>
  <c r="C40" i="11"/>
  <c r="C38" i="8"/>
  <c r="C43" i="13" l="1"/>
  <c r="C41" i="11"/>
  <c r="C39" i="8"/>
  <c r="C44" i="13" l="1"/>
  <c r="C42" i="11"/>
  <c r="C40" i="8"/>
  <c r="C45" i="13" l="1"/>
  <c r="C43" i="11"/>
  <c r="C41" i="8"/>
  <c r="C46" i="13" l="1"/>
  <c r="C44" i="11"/>
  <c r="C42" i="8"/>
  <c r="C47" i="13" l="1"/>
  <c r="C45" i="11"/>
  <c r="C43" i="8"/>
  <c r="C48" i="13" l="1"/>
  <c r="C46" i="11"/>
  <c r="C44" i="8"/>
  <c r="C49" i="13" l="1"/>
  <c r="C47" i="11"/>
  <c r="C45" i="8"/>
  <c r="C50" i="13" l="1"/>
  <c r="C48" i="11"/>
  <c r="C46" i="8"/>
  <c r="C51" i="13" l="1"/>
  <c r="C49" i="11"/>
  <c r="C47" i="8"/>
  <c r="C52" i="13" l="1"/>
  <c r="C50" i="11"/>
  <c r="C48" i="8"/>
  <c r="C53" i="13" l="1"/>
  <c r="C51" i="11"/>
  <c r="C49" i="8"/>
  <c r="C54" i="13" l="1"/>
  <c r="C52" i="11"/>
  <c r="C50" i="8"/>
  <c r="C55" i="13" l="1"/>
  <c r="C53" i="11"/>
  <c r="C51" i="8"/>
  <c r="C56" i="13" l="1"/>
  <c r="C54" i="11"/>
  <c r="C52" i="8"/>
  <c r="C57" i="13" l="1"/>
  <c r="C55" i="11"/>
  <c r="C53" i="8"/>
  <c r="C58" i="13" l="1"/>
  <c r="C56" i="11"/>
  <c r="C54" i="8"/>
  <c r="C59" i="13" l="1"/>
  <c r="C57" i="11"/>
  <c r="C55" i="8"/>
  <c r="C60" i="13" l="1"/>
  <c r="C58" i="11"/>
  <c r="C56" i="8"/>
  <c r="C61" i="13" l="1"/>
  <c r="C59" i="11"/>
  <c r="C57" i="8"/>
  <c r="C62" i="13" l="1"/>
  <c r="C60" i="11"/>
  <c r="C58" i="8"/>
  <c r="C63" i="13" l="1"/>
  <c r="C61" i="11"/>
  <c r="C59" i="8"/>
  <c r="C64" i="13" l="1"/>
  <c r="C62" i="11"/>
  <c r="C60" i="8"/>
  <c r="C65" i="13" l="1"/>
  <c r="C63" i="11"/>
  <c r="C61" i="8"/>
  <c r="C66" i="13" l="1"/>
  <c r="C64" i="11"/>
  <c r="C62" i="8"/>
  <c r="C67" i="13" l="1"/>
  <c r="C65" i="11"/>
  <c r="C63" i="8"/>
  <c r="C68" i="13" l="1"/>
  <c r="C66" i="11"/>
  <c r="C64" i="8"/>
  <c r="C69" i="13" l="1"/>
  <c r="C67" i="11"/>
  <c r="C65" i="8"/>
  <c r="C70" i="13" l="1"/>
  <c r="C68" i="11"/>
  <c r="C66" i="8"/>
  <c r="C71" i="13" l="1"/>
  <c r="C69" i="11"/>
  <c r="C67" i="8"/>
  <c r="C72" i="13" l="1"/>
  <c r="C70" i="11"/>
  <c r="C68" i="8"/>
  <c r="C73" i="13" l="1"/>
  <c r="C71" i="11"/>
  <c r="C69" i="8"/>
  <c r="C74" i="13" l="1"/>
  <c r="C72" i="11"/>
  <c r="C70" i="8"/>
  <c r="C75" i="13" l="1"/>
  <c r="C73" i="11"/>
  <c r="C71" i="8"/>
  <c r="C76" i="13" l="1"/>
  <c r="C74" i="11"/>
  <c r="C72" i="8"/>
  <c r="C77" i="13" l="1"/>
  <c r="C75" i="11"/>
  <c r="C73" i="8"/>
  <c r="C78" i="13" l="1"/>
  <c r="C76" i="11"/>
  <c r="C74" i="8"/>
  <c r="C79" i="13" l="1"/>
  <c r="C77" i="11"/>
  <c r="C75" i="8"/>
  <c r="C80" i="13" l="1"/>
  <c r="C78" i="11"/>
  <c r="C76" i="8"/>
  <c r="C81" i="13" l="1"/>
  <c r="C79" i="11"/>
  <c r="C77" i="8"/>
  <c r="C82" i="13" l="1"/>
  <c r="C80" i="11"/>
  <c r="C78" i="8"/>
  <c r="C83" i="13" l="1"/>
  <c r="C81" i="11"/>
  <c r="C79" i="8"/>
  <c r="C84" i="13" l="1"/>
  <c r="C82" i="11"/>
  <c r="C80" i="8"/>
  <c r="C85" i="13" l="1"/>
  <c r="C83" i="11"/>
  <c r="C81" i="8"/>
  <c r="C86" i="13" l="1"/>
  <c r="C84" i="11"/>
  <c r="C82" i="8"/>
  <c r="C87" i="13" l="1"/>
  <c r="C85" i="11"/>
  <c r="C83" i="8"/>
  <c r="C88" i="13" l="1"/>
  <c r="C86" i="11"/>
  <c r="C84" i="8"/>
  <c r="C89" i="13" l="1"/>
  <c r="C87" i="11"/>
  <c r="C85" i="8"/>
  <c r="C90" i="13" l="1"/>
  <c r="C88" i="11"/>
  <c r="C86" i="8"/>
  <c r="C91" i="13" l="1"/>
  <c r="C89" i="11"/>
  <c r="C87" i="8"/>
  <c r="C92" i="13" l="1"/>
  <c r="C90" i="11"/>
  <c r="C88" i="8"/>
  <c r="C93" i="13" l="1"/>
  <c r="C91" i="11"/>
  <c r="C89" i="8"/>
  <c r="C94" i="13" l="1"/>
  <c r="C92" i="11"/>
  <c r="C90" i="8"/>
  <c r="C95" i="13" l="1"/>
  <c r="C93" i="11"/>
  <c r="C91" i="8"/>
  <c r="C96" i="13" l="1"/>
  <c r="C94" i="11"/>
  <c r="C92" i="8"/>
  <c r="C97" i="13" l="1"/>
  <c r="C95" i="11"/>
  <c r="C93" i="8"/>
  <c r="C98" i="13" l="1"/>
  <c r="C96" i="11"/>
  <c r="C94" i="8"/>
  <c r="C99" i="13" l="1"/>
  <c r="C97" i="11"/>
  <c r="C95" i="8"/>
  <c r="C100" i="13" l="1"/>
  <c r="C98" i="11"/>
  <c r="C96" i="8"/>
  <c r="C101" i="13" l="1"/>
  <c r="C99" i="11"/>
  <c r="C97" i="8"/>
  <c r="C102" i="13" l="1"/>
  <c r="C100" i="11"/>
  <c r="C98" i="8"/>
  <c r="C103" i="13" l="1"/>
  <c r="C101" i="11"/>
  <c r="C99" i="8"/>
  <c r="C104" i="13" l="1"/>
  <c r="C102" i="11"/>
  <c r="C100" i="8"/>
  <c r="C105" i="13" l="1"/>
  <c r="C103" i="11"/>
  <c r="C101" i="8"/>
  <c r="C106" i="13" l="1"/>
  <c r="C104" i="11"/>
  <c r="C102" i="8"/>
  <c r="C107" i="13" l="1"/>
  <c r="C105" i="11"/>
  <c r="C103" i="8"/>
  <c r="C108" i="13" l="1"/>
  <c r="C109" i="13" s="1"/>
  <c r="C110" i="13" s="1"/>
  <c r="C111" i="13" s="1"/>
  <c r="C112" i="13" s="1"/>
  <c r="C113" i="13" s="1"/>
  <c r="C114" i="13" s="1"/>
  <c r="C115" i="13" s="1"/>
  <c r="C116" i="13" s="1"/>
  <c r="C106" i="11"/>
  <c r="C104" i="8"/>
  <c r="C107" i="11" l="1"/>
  <c r="C105" i="8"/>
  <c r="C108" i="11" l="1"/>
  <c r="C109" i="11" s="1"/>
  <c r="C110" i="11" s="1"/>
  <c r="C111" i="11" s="1"/>
  <c r="C112" i="11" s="1"/>
  <c r="C113" i="11" s="1"/>
  <c r="C114" i="11" s="1"/>
  <c r="C115" i="11" s="1"/>
  <c r="C116" i="11" s="1"/>
  <c r="C106" i="8"/>
  <c r="C107" i="8" l="1"/>
  <c r="C108" i="8" l="1"/>
  <c r="C109" i="8" s="1"/>
  <c r="C110" i="8" s="1"/>
  <c r="C111" i="8" s="1"/>
  <c r="C112" i="8" s="1"/>
  <c r="C113" i="8" s="1"/>
  <c r="C114" i="8" s="1"/>
  <c r="C115" i="8" s="1"/>
  <c r="C116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<sst xmlns="http://schemas.openxmlformats.org/spreadsheetml/2006/main" count="282" uniqueCount="132">
  <si>
    <t>(xa, mY)</t>
    <phoneticPr fontId="1"/>
  </si>
  <si>
    <t>mY</t>
    <phoneticPr fontId="1"/>
  </si>
  <si>
    <t>(xa, ya)</t>
    <phoneticPr fontId="1"/>
  </si>
  <si>
    <t>(xb, yb)</t>
    <phoneticPr fontId="1"/>
  </si>
  <si>
    <t>xb</t>
    <phoneticPr fontId="1"/>
  </si>
  <si>
    <t>yb</t>
    <phoneticPr fontId="1"/>
  </si>
  <si>
    <t>ya</t>
    <phoneticPr fontId="1"/>
  </si>
  <si>
    <t>(xb, f(xb))</t>
    <phoneticPr fontId="1"/>
  </si>
  <si>
    <t>(xa, f(xa))</t>
    <phoneticPr fontId="1"/>
  </si>
  <si>
    <t>(xb, mY)</t>
    <phoneticPr fontId="1"/>
  </si>
  <si>
    <t>xa</t>
    <phoneticPr fontId="1"/>
  </si>
  <si>
    <t>|ya-f(xa)|</t>
    <phoneticPr fontId="1"/>
  </si>
  <si>
    <t>|ya-mY|</t>
    <phoneticPr fontId="1"/>
  </si>
  <si>
    <t>|yb-f(xb)|</t>
    <phoneticPr fontId="1"/>
  </si>
  <si>
    <t>|yb-mY|</t>
    <phoneticPr fontId="1"/>
  </si>
  <si>
    <t>f(xa)</t>
    <phoneticPr fontId="1"/>
  </si>
  <si>
    <t>f(xb)</t>
    <phoneticPr fontId="1"/>
  </si>
  <si>
    <t>観測値から予測値を差し引いて2乗したものをそれぞれ足していったのが、残差変動(オレンジ)</t>
    <rPh sb="0" eb="2">
      <t>カンソク</t>
    </rPh>
    <rPh sb="2" eb="3">
      <t>チ</t>
    </rPh>
    <rPh sb="5" eb="8">
      <t>ヨソクチ</t>
    </rPh>
    <rPh sb="9" eb="10">
      <t>サ</t>
    </rPh>
    <rPh sb="11" eb="12">
      <t>ヒ</t>
    </rPh>
    <rPh sb="15" eb="16">
      <t>ジョウ</t>
    </rPh>
    <rPh sb="25" eb="26">
      <t>タ</t>
    </rPh>
    <rPh sb="34" eb="36">
      <t>ザンサ</t>
    </rPh>
    <rPh sb="36" eb="38">
      <t>ヘンドウ</t>
    </rPh>
    <phoneticPr fontId="1"/>
  </si>
  <si>
    <t>観測値から平均を差し引いて2乗したものをそれぞれ足していったのが、全変動(緑)</t>
    <rPh sb="0" eb="2">
      <t>カンソク</t>
    </rPh>
    <rPh sb="2" eb="3">
      <t>チ</t>
    </rPh>
    <rPh sb="5" eb="7">
      <t>ヘイキン</t>
    </rPh>
    <rPh sb="8" eb="9">
      <t>サ</t>
    </rPh>
    <rPh sb="10" eb="11">
      <t>ヒ</t>
    </rPh>
    <rPh sb="14" eb="15">
      <t>ジョウ</t>
    </rPh>
    <rPh sb="24" eb="25">
      <t>タ</t>
    </rPh>
    <rPh sb="33" eb="34">
      <t>ゼン</t>
    </rPh>
    <rPh sb="34" eb="36">
      <t>ヘンドウ</t>
    </rPh>
    <rPh sb="37" eb="38">
      <t>ミドリ</t>
    </rPh>
    <phoneticPr fontId="1"/>
  </si>
  <si>
    <t>データそのもののばらつきを示す</t>
    <rPh sb="13" eb="14">
      <t>シメ</t>
    </rPh>
    <phoneticPr fontId="1"/>
  </si>
  <si>
    <t>回帰モデルと実測値のずれを示す</t>
    <rPh sb="0" eb="2">
      <t>カイキ</t>
    </rPh>
    <rPh sb="6" eb="9">
      <t>ジッソクチ</t>
    </rPh>
    <rPh sb="13" eb="14">
      <t>シメ</t>
    </rPh>
    <phoneticPr fontId="1"/>
  </si>
  <si>
    <t>H1</t>
    <phoneticPr fontId="1"/>
  </si>
  <si>
    <t>H2</t>
    <phoneticPr fontId="1"/>
  </si>
  <si>
    <t>H3</t>
    <phoneticPr fontId="1"/>
  </si>
  <si>
    <t>A1</t>
    <phoneticPr fontId="1"/>
  </si>
  <si>
    <t>A2</t>
    <phoneticPr fontId="1"/>
  </si>
  <si>
    <t>A3</t>
    <phoneticPr fontId="1"/>
  </si>
  <si>
    <t>集合Hは事象H1,H2,H3,Aからなる。事象H1,H2,H3は共に背反である。この時、</t>
    <rPh sb="0" eb="2">
      <t>シュウゴウ</t>
    </rPh>
    <rPh sb="4" eb="6">
      <t>ジショウ</t>
    </rPh>
    <rPh sb="21" eb="23">
      <t>ジショウ</t>
    </rPh>
    <rPh sb="32" eb="33">
      <t>トモ</t>
    </rPh>
    <rPh sb="34" eb="36">
      <t>ハイハン</t>
    </rPh>
    <rPh sb="42" eb="43">
      <t>トキ</t>
    </rPh>
    <phoneticPr fontId="1"/>
  </si>
  <si>
    <t>A1=H1∩A</t>
    <phoneticPr fontId="1"/>
  </si>
  <si>
    <t>A2=H2∩A</t>
    <phoneticPr fontId="1"/>
  </si>
  <si>
    <t>A3=H3∩A</t>
    <phoneticPr fontId="1"/>
  </si>
  <si>
    <t>であり、A1,A2,A3は共に背反であるから</t>
    <rPh sb="13" eb="14">
      <t>トモ</t>
    </rPh>
    <rPh sb="15" eb="17">
      <t>ハイハン</t>
    </rPh>
    <phoneticPr fontId="1"/>
  </si>
  <si>
    <t>P(A)=P(A1)+P(A2)+P(A3)が成立する。つまり</t>
    <rPh sb="23" eb="25">
      <t>セイリツ</t>
    </rPh>
    <phoneticPr fontId="1"/>
  </si>
  <si>
    <t>A</t>
    <phoneticPr fontId="1"/>
  </si>
  <si>
    <t>P(A)=sigma(n=1, k, P(An))である。</t>
    <phoneticPr fontId="1"/>
  </si>
  <si>
    <t>条件付き確率によって、既に事象H1が明らかな場合、</t>
    <rPh sb="0" eb="3">
      <t>ジョウケンツ</t>
    </rPh>
    <rPh sb="4" eb="6">
      <t>カクリツ</t>
    </rPh>
    <rPh sb="11" eb="12">
      <t>スデ</t>
    </rPh>
    <rPh sb="13" eb="15">
      <t>ジショウ</t>
    </rPh>
    <rPh sb="18" eb="19">
      <t>アキ</t>
    </rPh>
    <rPh sb="22" eb="24">
      <t>バアイ</t>
    </rPh>
    <phoneticPr fontId="1"/>
  </si>
  <si>
    <t>P(A|H1)=A1となる</t>
    <phoneticPr fontId="1"/>
  </si>
  <si>
    <t>公式より</t>
    <rPh sb="0" eb="2">
      <t>コウシキ</t>
    </rPh>
    <phoneticPr fontId="1"/>
  </si>
  <si>
    <t>P(A|Hn)=P(A∩Hn)/P(Hn)</t>
    <phoneticPr fontId="1"/>
  </si>
  <si>
    <t>P(A∩Hn)=P(A|Hn)P(Hn)なので、</t>
    <phoneticPr fontId="1"/>
  </si>
  <si>
    <t>P(A)=sigma(n=1, k, P(A|Hn)P(Hn))</t>
    <phoneticPr fontId="1"/>
  </si>
  <si>
    <t>P(x)</t>
    <phoneticPr fontId="1"/>
  </si>
  <si>
    <t>x</t>
    <phoneticPr fontId="1"/>
  </si>
  <si>
    <t>c</t>
    <phoneticPr fontId="1"/>
  </si>
  <si>
    <t>μX</t>
    <phoneticPr fontId="1"/>
  </si>
  <si>
    <t>X</t>
    <phoneticPr fontId="1"/>
  </si>
  <si>
    <t>X1</t>
    <phoneticPr fontId="1"/>
  </si>
  <si>
    <t>X2</t>
    <phoneticPr fontId="1"/>
  </si>
  <si>
    <t>X3</t>
    <phoneticPr fontId="1"/>
  </si>
  <si>
    <t>X3-μX</t>
    <phoneticPr fontId="1"/>
  </si>
  <si>
    <t>X2-μX</t>
    <phoneticPr fontId="1"/>
  </si>
  <si>
    <t>X1-μX</t>
    <phoneticPr fontId="1"/>
  </si>
  <si>
    <t>分散…求めたい尺度は散らばりなので、意図的には、|X1-μX|+|X2-μX|+|X3-μX|</t>
    <rPh sb="0" eb="2">
      <t>ブンサン</t>
    </rPh>
    <rPh sb="3" eb="4">
      <t>モト</t>
    </rPh>
    <rPh sb="7" eb="9">
      <t>シャクド</t>
    </rPh>
    <rPh sb="10" eb="11">
      <t>チ</t>
    </rPh>
    <rPh sb="18" eb="21">
      <t>イトテキ</t>
    </rPh>
    <phoneticPr fontId="1"/>
  </si>
  <si>
    <t>標本の成功数</t>
    <rPh sb="0" eb="2">
      <t>ヒョウホン</t>
    </rPh>
    <rPh sb="3" eb="5">
      <t>セイコウ</t>
    </rPh>
    <rPh sb="5" eb="6">
      <t>スウ</t>
    </rPh>
    <phoneticPr fontId="1"/>
  </si>
  <si>
    <t>標本数</t>
    <rPh sb="0" eb="2">
      <t>ヒョウホン</t>
    </rPh>
    <rPh sb="2" eb="3">
      <t>スウ</t>
    </rPh>
    <phoneticPr fontId="1"/>
  </si>
  <si>
    <t>母集団の成功数</t>
    <rPh sb="0" eb="3">
      <t>ボシュウダン</t>
    </rPh>
    <rPh sb="4" eb="6">
      <t>セイコウ</t>
    </rPh>
    <rPh sb="6" eb="7">
      <t>スウ</t>
    </rPh>
    <phoneticPr fontId="1"/>
  </si>
  <si>
    <t>母集団の大きさ</t>
    <rPh sb="0" eb="3">
      <t>ボシュウダン</t>
    </rPh>
    <rPh sb="4" eb="5">
      <t>オオ</t>
    </rPh>
    <phoneticPr fontId="1"/>
  </si>
  <si>
    <t>固定</t>
    <rPh sb="0" eb="2">
      <t>コテイ</t>
    </rPh>
    <phoneticPr fontId="1"/>
  </si>
  <si>
    <t>母集団N</t>
    <rPh sb="0" eb="3">
      <t>ボシュウダン</t>
    </rPh>
    <phoneticPr fontId="1"/>
  </si>
  <si>
    <t>説明</t>
    <rPh sb="0" eb="2">
      <t>セツメイ</t>
    </rPh>
    <phoneticPr fontId="1"/>
  </si>
  <si>
    <t>パラメタ</t>
    <phoneticPr fontId="1"/>
  </si>
  <si>
    <t>値</t>
    <rPh sb="0" eb="1">
      <t>アタイ</t>
    </rPh>
    <phoneticPr fontId="1"/>
  </si>
  <si>
    <t>超幾何分布</t>
    <rPh sb="0" eb="1">
      <t>チョウ</t>
    </rPh>
    <rPh sb="1" eb="3">
      <t>キカ</t>
    </rPh>
    <rPh sb="3" eb="5">
      <t>ブンプ</t>
    </rPh>
    <phoneticPr fontId="1"/>
  </si>
  <si>
    <t>状態Aを持つ個体数k個</t>
    <rPh sb="0" eb="2">
      <t>ジョウタイ</t>
    </rPh>
    <rPh sb="4" eb="5">
      <t>モ</t>
    </rPh>
    <rPh sb="6" eb="9">
      <t>コタイスウ</t>
    </rPh>
    <rPh sb="10" eb="11">
      <t>コ</t>
    </rPh>
    <phoneticPr fontId="1"/>
  </si>
  <si>
    <t>K個</t>
    <rPh sb="1" eb="2">
      <t>コ</t>
    </rPh>
    <phoneticPr fontId="1"/>
  </si>
  <si>
    <t>期待値</t>
    <rPh sb="0" eb="3">
      <t>キタイチ</t>
    </rPh>
    <phoneticPr fontId="1"/>
  </si>
  <si>
    <t>抽出数n個</t>
    <rPh sb="0" eb="2">
      <t>チュウシュツ</t>
    </rPh>
    <rPh sb="2" eb="3">
      <t>スウ</t>
    </rPh>
    <rPh sb="4" eb="5">
      <t>コ</t>
    </rPh>
    <phoneticPr fontId="1"/>
  </si>
  <si>
    <r>
      <rPr>
        <sz val="11"/>
        <color rgb="FFFF0000"/>
        <rFont val="Yu Gothic"/>
        <family val="3"/>
        <charset val="128"/>
        <scheme val="minor"/>
      </rPr>
      <t>N個の母集団</t>
    </r>
    <r>
      <rPr>
        <sz val="11"/>
        <color theme="1"/>
        <rFont val="Yu Gothic"/>
        <family val="2"/>
        <scheme val="minor"/>
      </rPr>
      <t>の中に</t>
    </r>
    <r>
      <rPr>
        <sz val="11"/>
        <color theme="4"/>
        <rFont val="Yu Gothic"/>
        <family val="3"/>
        <charset val="128"/>
        <scheme val="minor"/>
      </rPr>
      <t>状態Aを持つ要素がK個存在</t>
    </r>
    <r>
      <rPr>
        <sz val="11"/>
        <color theme="1"/>
        <rFont val="Yu Gothic"/>
        <family val="2"/>
        <scheme val="minor"/>
      </rPr>
      <t>する場合に、</t>
    </r>
    <r>
      <rPr>
        <sz val="11"/>
        <color rgb="FF00B050"/>
        <rFont val="Yu Gothic"/>
        <family val="3"/>
        <charset val="128"/>
        <scheme val="minor"/>
      </rPr>
      <t>n個の非復元抽出</t>
    </r>
    <r>
      <rPr>
        <sz val="11"/>
        <color theme="1"/>
        <rFont val="Yu Gothic"/>
        <family val="2"/>
        <scheme val="minor"/>
      </rPr>
      <t>を行った時、</t>
    </r>
    <r>
      <rPr>
        <sz val="11"/>
        <color rgb="FF7030A0"/>
        <rFont val="Yu Gothic"/>
        <family val="3"/>
        <charset val="128"/>
        <scheme val="minor"/>
      </rPr>
      <t>状態Aを持つ個体がk個</t>
    </r>
    <r>
      <rPr>
        <sz val="11"/>
        <color theme="1"/>
        <rFont val="Yu Gothic"/>
        <family val="2"/>
        <scheme val="minor"/>
      </rPr>
      <t>含まれる確率</t>
    </r>
    <rPh sb="1" eb="2">
      <t>コ</t>
    </rPh>
    <rPh sb="3" eb="6">
      <t>ボシュウダン</t>
    </rPh>
    <rPh sb="7" eb="8">
      <t>ナカ</t>
    </rPh>
    <rPh sb="9" eb="11">
      <t>ジョウタイ</t>
    </rPh>
    <rPh sb="13" eb="14">
      <t>モ</t>
    </rPh>
    <rPh sb="15" eb="17">
      <t>ヨウソ</t>
    </rPh>
    <rPh sb="19" eb="20">
      <t>コ</t>
    </rPh>
    <rPh sb="20" eb="22">
      <t>ソンザイ</t>
    </rPh>
    <rPh sb="24" eb="26">
      <t>バアイ</t>
    </rPh>
    <rPh sb="29" eb="30">
      <t>コ</t>
    </rPh>
    <rPh sb="31" eb="32">
      <t>ヒ</t>
    </rPh>
    <rPh sb="32" eb="34">
      <t>フクゲン</t>
    </rPh>
    <rPh sb="34" eb="36">
      <t>チュウシュツ</t>
    </rPh>
    <rPh sb="37" eb="38">
      <t>オコナ</t>
    </rPh>
    <rPh sb="40" eb="41">
      <t>トキ</t>
    </rPh>
    <rPh sb="42" eb="44">
      <t>ジョウタイ</t>
    </rPh>
    <rPh sb="46" eb="47">
      <t>モ</t>
    </rPh>
    <rPh sb="48" eb="50">
      <t>コタイ</t>
    </rPh>
    <rPh sb="52" eb="53">
      <t>コ</t>
    </rPh>
    <rPh sb="53" eb="54">
      <t>フク</t>
    </rPh>
    <rPh sb="57" eb="59">
      <t>カクリツ</t>
    </rPh>
    <phoneticPr fontId="1"/>
  </si>
  <si>
    <t>※超幾何分布の期待値はn(K/N)で計算可能</t>
    <rPh sb="1" eb="2">
      <t>チョウ</t>
    </rPh>
    <rPh sb="2" eb="4">
      <t>キカ</t>
    </rPh>
    <rPh sb="4" eb="6">
      <t>ブンプ</t>
    </rPh>
    <rPh sb="7" eb="10">
      <t>キタイチ</t>
    </rPh>
    <rPh sb="18" eb="20">
      <t>ケイサン</t>
    </rPh>
    <rPh sb="20" eb="22">
      <t>カノウ</t>
    </rPh>
    <phoneticPr fontId="1"/>
  </si>
  <si>
    <t>分散</t>
    <rPh sb="0" eb="2">
      <t>ブンサン</t>
    </rPh>
    <phoneticPr fontId="1"/>
  </si>
  <si>
    <t>cdf</t>
    <phoneticPr fontId="1"/>
  </si>
  <si>
    <t>pdf</t>
    <phoneticPr fontId="1"/>
  </si>
  <si>
    <t>試行数</t>
    <rPh sb="0" eb="2">
      <t>シコウ</t>
    </rPh>
    <rPh sb="2" eb="3">
      <t>スウ</t>
    </rPh>
    <phoneticPr fontId="1"/>
  </si>
  <si>
    <t>成功確率</t>
    <rPh sb="0" eb="2">
      <t>セイコウ</t>
    </rPh>
    <rPh sb="2" eb="4">
      <t>カクリツ</t>
    </rPh>
    <phoneticPr fontId="1"/>
  </si>
  <si>
    <t>成功数</t>
    <rPh sb="0" eb="2">
      <t>セイコウ</t>
    </rPh>
    <rPh sb="2" eb="3">
      <t>スウ</t>
    </rPh>
    <phoneticPr fontId="1"/>
  </si>
  <si>
    <t>標本中の成功数</t>
    <rPh sb="0" eb="2">
      <t>ヒョウホン</t>
    </rPh>
    <rPh sb="2" eb="3">
      <t>チュウ</t>
    </rPh>
    <rPh sb="4" eb="6">
      <t>セイコウ</t>
    </rPh>
    <rPh sb="6" eb="7">
      <t>スウ</t>
    </rPh>
    <phoneticPr fontId="1"/>
  </si>
  <si>
    <t>確立変数</t>
    <rPh sb="0" eb="2">
      <t>カクリツ</t>
    </rPh>
    <rPh sb="2" eb="4">
      <t>ヘンスウ</t>
    </rPh>
    <phoneticPr fontId="1"/>
  </si>
  <si>
    <t>試行数n</t>
    <rPh sb="0" eb="2">
      <t>シコウ</t>
    </rPh>
    <rPh sb="2" eb="3">
      <t>スウ</t>
    </rPh>
    <phoneticPr fontId="1"/>
  </si>
  <si>
    <r>
      <rPr>
        <sz val="11"/>
        <color theme="4"/>
        <rFont val="Yu Gothic"/>
        <family val="3"/>
        <charset val="128"/>
        <scheme val="minor"/>
      </rPr>
      <t>成功</t>
    </r>
    <r>
      <rPr>
        <sz val="11"/>
        <color theme="1"/>
        <rFont val="Yu Gothic"/>
        <family val="3"/>
        <charset val="128"/>
        <scheme val="minor"/>
      </rPr>
      <t>が</t>
    </r>
    <r>
      <rPr>
        <sz val="11"/>
        <color rgb="FF7030A0"/>
        <rFont val="Yu Gothic"/>
        <family val="3"/>
        <charset val="128"/>
        <scheme val="minor"/>
      </rPr>
      <t>抽出できる確率がp</t>
    </r>
    <r>
      <rPr>
        <sz val="11"/>
        <color theme="1"/>
        <rFont val="Yu Gothic"/>
        <family val="2"/>
        <scheme val="minor"/>
      </rPr>
      <t>の場合、</t>
    </r>
    <r>
      <rPr>
        <sz val="11"/>
        <color rgb="FF00B050"/>
        <rFont val="Yu Gothic"/>
        <family val="3"/>
        <charset val="128"/>
        <scheme val="minor"/>
      </rPr>
      <t>n回復元抽出</t>
    </r>
    <r>
      <rPr>
        <sz val="11"/>
        <color theme="1"/>
        <rFont val="Yu Gothic"/>
        <family val="2"/>
        <scheme val="minor"/>
      </rPr>
      <t>を行った時、</t>
    </r>
    <r>
      <rPr>
        <sz val="11"/>
        <color theme="4"/>
        <rFont val="Yu Gothic"/>
        <family val="3"/>
        <charset val="128"/>
        <scheme val="minor"/>
      </rPr>
      <t>成功する</t>
    </r>
    <r>
      <rPr>
        <sz val="11"/>
        <color theme="1"/>
        <rFont val="Yu Gothic"/>
        <family val="2"/>
        <scheme val="minor"/>
      </rPr>
      <t>確率</t>
    </r>
    <rPh sb="0" eb="2">
      <t>セイコウ</t>
    </rPh>
    <rPh sb="3" eb="5">
      <t>チュウシュツ</t>
    </rPh>
    <rPh sb="8" eb="10">
      <t>カクリツ</t>
    </rPh>
    <rPh sb="13" eb="15">
      <t>バアイ</t>
    </rPh>
    <rPh sb="28" eb="30">
      <t>セイコウ</t>
    </rPh>
    <rPh sb="32" eb="34">
      <t>カクリツ</t>
    </rPh>
    <phoneticPr fontId="1"/>
  </si>
  <si>
    <t>np</t>
    <phoneticPr fontId="1"/>
  </si>
  <si>
    <t>成功する確率p(小数点数)</t>
    <rPh sb="0" eb="2">
      <t>セイコウ</t>
    </rPh>
    <rPh sb="4" eb="6">
      <t>カクリツ</t>
    </rPh>
    <rPh sb="8" eb="10">
      <t>ショウスウ</t>
    </rPh>
    <rPh sb="10" eb="12">
      <t>テンスウ</t>
    </rPh>
    <phoneticPr fontId="1"/>
  </si>
  <si>
    <t>np(1-p)</t>
    <phoneticPr fontId="1"/>
  </si>
  <si>
    <t>発生回数k</t>
    <rPh sb="0" eb="2">
      <t>ハッセイ</t>
    </rPh>
    <rPh sb="2" eb="4">
      <t>カイスウ</t>
    </rPh>
    <phoneticPr fontId="1"/>
  </si>
  <si>
    <t>事象の平均発生回数</t>
    <rPh sb="0" eb="2">
      <t>ジショウ</t>
    </rPh>
    <rPh sb="3" eb="5">
      <t>ヘイキン</t>
    </rPh>
    <rPh sb="5" eb="7">
      <t>ハッセイ</t>
    </rPh>
    <rPh sb="7" eb="9">
      <t>カイスウ</t>
    </rPh>
    <phoneticPr fontId="1"/>
  </si>
  <si>
    <t>事象の発生回数</t>
    <rPh sb="0" eb="2">
      <t>ジショウ</t>
    </rPh>
    <rPh sb="3" eb="5">
      <t>ハッセイ</t>
    </rPh>
    <rPh sb="5" eb="7">
      <t>カイスウ</t>
    </rPh>
    <phoneticPr fontId="1"/>
  </si>
  <si>
    <t>平均発生回数λ</t>
    <rPh sb="0" eb="2">
      <t>ヘイキン</t>
    </rPh>
    <rPh sb="2" eb="4">
      <t>ハッセイ</t>
    </rPh>
    <rPh sb="4" eb="6">
      <t>カイスウ</t>
    </rPh>
    <phoneticPr fontId="1"/>
  </si>
  <si>
    <r>
      <t>期間中、</t>
    </r>
    <r>
      <rPr>
        <sz val="11"/>
        <color rgb="FF00B050"/>
        <rFont val="Yu Gothic"/>
        <family val="3"/>
        <charset val="128"/>
        <scheme val="minor"/>
      </rPr>
      <t>平均λ回発生する</t>
    </r>
    <r>
      <rPr>
        <sz val="11"/>
        <color theme="1"/>
        <rFont val="Yu Gothic"/>
        <family val="3"/>
        <charset val="128"/>
        <scheme val="minor"/>
      </rPr>
      <t>事象が、同期間中</t>
    </r>
    <r>
      <rPr>
        <sz val="11"/>
        <color theme="4"/>
        <rFont val="Yu Gothic"/>
        <family val="3"/>
        <charset val="128"/>
        <scheme val="minor"/>
      </rPr>
      <t>k回発生する</t>
    </r>
    <r>
      <rPr>
        <sz val="11"/>
        <color theme="1"/>
        <rFont val="Yu Gothic"/>
        <family val="3"/>
        <charset val="128"/>
        <scheme val="minor"/>
      </rPr>
      <t>確率</t>
    </r>
    <rPh sb="0" eb="3">
      <t>キカンチュウ</t>
    </rPh>
    <rPh sb="4" eb="6">
      <t>ヘイキン</t>
    </rPh>
    <rPh sb="7" eb="8">
      <t>カイ</t>
    </rPh>
    <rPh sb="8" eb="10">
      <t>ハッセイ</t>
    </rPh>
    <rPh sb="12" eb="14">
      <t>ジショウ</t>
    </rPh>
    <rPh sb="16" eb="20">
      <t>ドウキカンチュウ</t>
    </rPh>
    <rPh sb="21" eb="22">
      <t>カイ</t>
    </rPh>
    <rPh sb="22" eb="24">
      <t>ハッセイ</t>
    </rPh>
    <rPh sb="26" eb="28">
      <t>カクリツ</t>
    </rPh>
    <phoneticPr fontId="1"/>
  </si>
  <si>
    <t>ポアソン分布は期待値と分散が等しい</t>
    <rPh sb="4" eb="6">
      <t>ブンプ</t>
    </rPh>
    <rPh sb="7" eb="10">
      <t>キタイチ</t>
    </rPh>
    <rPh sb="11" eb="13">
      <t>ブンサン</t>
    </rPh>
    <rPh sb="14" eb="15">
      <t>ヒト</t>
    </rPh>
    <phoneticPr fontId="1"/>
  </si>
  <si>
    <t>ポアソン分布</t>
    <rPh sb="4" eb="6">
      <t>ブンプ</t>
    </rPh>
    <phoneticPr fontId="1"/>
  </si>
  <si>
    <t>1/p</t>
    <phoneticPr fontId="1"/>
  </si>
  <si>
    <t>q/p^2</t>
    <phoneticPr fontId="1"/>
  </si>
  <si>
    <t>失敗回数</t>
    <rPh sb="0" eb="2">
      <t>シッパイ</t>
    </rPh>
    <rPh sb="2" eb="4">
      <t>カイスウ</t>
    </rPh>
    <phoneticPr fontId="1"/>
  </si>
  <si>
    <t>成功回数</t>
    <rPh sb="0" eb="2">
      <t>セイコウ</t>
    </rPh>
    <rPh sb="2" eb="4">
      <t>カイスウ</t>
    </rPh>
    <phoneticPr fontId="1"/>
  </si>
  <si>
    <t>負の二項分布</t>
    <rPh sb="0" eb="1">
      <t>フ</t>
    </rPh>
    <rPh sb="2" eb="4">
      <t>ニコウ</t>
    </rPh>
    <rPh sb="4" eb="6">
      <t>ブンプ</t>
    </rPh>
    <phoneticPr fontId="1"/>
  </si>
  <si>
    <t>kq/p</t>
    <phoneticPr fontId="1"/>
  </si>
  <si>
    <t>kq/p^2</t>
    <phoneticPr fontId="1"/>
  </si>
  <si>
    <t>成功回数k</t>
    <rPh sb="0" eb="2">
      <t>セイコウ</t>
    </rPh>
    <rPh sb="2" eb="4">
      <t>カイスウ</t>
    </rPh>
    <phoneticPr fontId="1"/>
  </si>
  <si>
    <t>失敗回数x</t>
    <rPh sb="0" eb="2">
      <t>シッパイ</t>
    </rPh>
    <rPh sb="2" eb="4">
      <t>カイスウ</t>
    </rPh>
    <phoneticPr fontId="1"/>
  </si>
  <si>
    <r>
      <rPr>
        <sz val="11"/>
        <color rgb="FF7030A0"/>
        <rFont val="Yu Gothic"/>
        <family val="3"/>
        <charset val="128"/>
        <scheme val="minor"/>
      </rPr>
      <t>成功確率p</t>
    </r>
    <r>
      <rPr>
        <sz val="11"/>
        <color theme="1"/>
        <rFont val="Yu Gothic"/>
        <family val="3"/>
        <charset val="128"/>
        <scheme val="minor"/>
      </rPr>
      <t>の事象が、</t>
    </r>
    <r>
      <rPr>
        <sz val="11"/>
        <color rgb="FF00B050"/>
        <rFont val="Yu Gothic"/>
        <family val="3"/>
        <charset val="128"/>
        <scheme val="minor"/>
      </rPr>
      <t>k回成功する</t>
    </r>
    <r>
      <rPr>
        <sz val="11"/>
        <color theme="1"/>
        <rFont val="Yu Gothic"/>
        <family val="3"/>
        <charset val="128"/>
        <scheme val="minor"/>
      </rPr>
      <t>まで、</t>
    </r>
    <r>
      <rPr>
        <sz val="11"/>
        <color theme="8"/>
        <rFont val="Yu Gothic"/>
        <family val="3"/>
        <charset val="128"/>
        <scheme val="minor"/>
      </rPr>
      <t>失敗する回数x</t>
    </r>
    <r>
      <rPr>
        <sz val="11"/>
        <color theme="1"/>
        <rFont val="Yu Gothic"/>
        <family val="3"/>
        <charset val="128"/>
        <scheme val="minor"/>
      </rPr>
      <t>の分布</t>
    </r>
    <rPh sb="0" eb="2">
      <t>セイコウ</t>
    </rPh>
    <rPh sb="2" eb="4">
      <t>カクリツ</t>
    </rPh>
    <rPh sb="6" eb="8">
      <t>ジショウ</t>
    </rPh>
    <rPh sb="11" eb="12">
      <t>カイ</t>
    </rPh>
    <rPh sb="12" eb="14">
      <t>セイコウ</t>
    </rPh>
    <rPh sb="19" eb="21">
      <t>シッパイ</t>
    </rPh>
    <rPh sb="23" eb="25">
      <t>カイスウ</t>
    </rPh>
    <rPh sb="27" eb="29">
      <t>ブンプ</t>
    </rPh>
    <phoneticPr fontId="1"/>
  </si>
  <si>
    <t>成功確率p</t>
    <rPh sb="0" eb="2">
      <t>セイコウ</t>
    </rPh>
    <rPh sb="2" eb="4">
      <t>カクリツ</t>
    </rPh>
    <phoneticPr fontId="1"/>
  </si>
  <si>
    <t>事象</t>
    <rPh sb="0" eb="2">
      <t>ジショウ</t>
    </rPh>
    <phoneticPr fontId="1"/>
  </si>
  <si>
    <t>(N+1)/2</t>
    <phoneticPr fontId="1"/>
  </si>
  <si>
    <t>(N^2-1)/12</t>
    <phoneticPr fontId="1"/>
  </si>
  <si>
    <t>確率変数</t>
    <rPh sb="0" eb="2">
      <t>カクリツ</t>
    </rPh>
    <rPh sb="2" eb="4">
      <t>ヘンスウ</t>
    </rPh>
    <phoneticPr fontId="1"/>
  </si>
  <si>
    <t>平均</t>
    <rPh sb="0" eb="2">
      <t>ヘイキン</t>
    </rPh>
    <phoneticPr fontId="1"/>
  </si>
  <si>
    <t>標準偏差</t>
    <rPh sb="0" eb="2">
      <t>ヒョウジュン</t>
    </rPh>
    <rPh sb="2" eb="4">
      <t>ヘンサ</t>
    </rPh>
    <phoneticPr fontId="1"/>
  </si>
  <si>
    <t>確率変数x</t>
    <rPh sb="0" eb="2">
      <t>カクリツ</t>
    </rPh>
    <rPh sb="2" eb="4">
      <t>ヘンスウ</t>
    </rPh>
    <phoneticPr fontId="1"/>
  </si>
  <si>
    <t>平均λ</t>
    <rPh sb="0" eb="2">
      <t>ヘイキン</t>
    </rPh>
    <phoneticPr fontId="1"/>
  </si>
  <si>
    <t>標準偏差σ</t>
    <rPh sb="0" eb="2">
      <t>ヒョウジュン</t>
    </rPh>
    <rPh sb="2" eb="4">
      <t>ヘンサ</t>
    </rPh>
    <phoneticPr fontId="1"/>
  </si>
  <si>
    <t>※平均0、分散1で標準正規分布</t>
    <rPh sb="1" eb="3">
      <t>ヘイキン</t>
    </rPh>
    <rPh sb="5" eb="7">
      <t>ブンサン</t>
    </rPh>
    <rPh sb="9" eb="11">
      <t>ヒョウジュン</t>
    </rPh>
    <rPh sb="11" eb="13">
      <t>セイキ</t>
    </rPh>
    <rPh sb="13" eb="15">
      <t>ブンプ</t>
    </rPh>
    <phoneticPr fontId="1"/>
  </si>
  <si>
    <t>指数分布</t>
    <rPh sb="0" eb="2">
      <t>シスウ</t>
    </rPh>
    <rPh sb="2" eb="4">
      <t>ブンプ</t>
    </rPh>
    <phoneticPr fontId="1"/>
  </si>
  <si>
    <t>分布名</t>
    <rPh sb="0" eb="2">
      <t>ブンプ</t>
    </rPh>
    <rPh sb="2" eb="3">
      <t>メイ</t>
    </rPh>
    <phoneticPr fontId="1"/>
  </si>
  <si>
    <t>概要</t>
    <rPh sb="0" eb="2">
      <t>ガイヨウ</t>
    </rPh>
    <phoneticPr fontId="1"/>
  </si>
  <si>
    <t>確率密度関数</t>
    <rPh sb="0" eb="2">
      <t>カクリツ</t>
    </rPh>
    <rPh sb="2" eb="4">
      <t>ミツド</t>
    </rPh>
    <rPh sb="4" eb="6">
      <t>カンスウ</t>
    </rPh>
    <phoneticPr fontId="1"/>
  </si>
  <si>
    <t>1/λ^2</t>
    <phoneticPr fontId="1"/>
  </si>
  <si>
    <t>1/λ</t>
    <phoneticPr fontId="1"/>
  </si>
  <si>
    <t>平均λ(小数点数)</t>
    <rPh sb="0" eb="2">
      <t>ヘイキン</t>
    </rPh>
    <rPh sb="4" eb="6">
      <t>ショウスウ</t>
    </rPh>
    <rPh sb="6" eb="8">
      <t>テンスウ</t>
    </rPh>
    <phoneticPr fontId="1"/>
  </si>
  <si>
    <t>α</t>
    <phoneticPr fontId="1"/>
  </si>
  <si>
    <t>β</t>
    <phoneticPr fontId="1"/>
  </si>
  <si>
    <t>θ＝1/λ＝1/β</t>
    <phoneticPr fontId="1"/>
  </si>
  <si>
    <t>形状母数k</t>
    <rPh sb="0" eb="2">
      <t>ケイジョウ</t>
    </rPh>
    <rPh sb="2" eb="4">
      <t>ボスウ</t>
    </rPh>
    <phoneticPr fontId="1"/>
  </si>
  <si>
    <t>尺度母数θ</t>
    <rPh sb="0" eb="2">
      <t>シャクド</t>
    </rPh>
    <rPh sb="2" eb="4">
      <t>ボスウ</t>
    </rPh>
    <phoneticPr fontId="1"/>
  </si>
  <si>
    <t>ガンマ分布</t>
    <rPh sb="3" eb="5">
      <t>ブンプ</t>
    </rPh>
    <phoneticPr fontId="1"/>
  </si>
  <si>
    <r>
      <rPr>
        <sz val="11"/>
        <color rgb="FF7030A0"/>
        <rFont val="Yu Gothic"/>
        <family val="3"/>
        <charset val="128"/>
        <scheme val="minor"/>
      </rPr>
      <t>平均λ回</t>
    </r>
    <r>
      <rPr>
        <sz val="11"/>
        <color theme="1"/>
        <rFont val="Yu Gothic"/>
        <family val="3"/>
        <charset val="128"/>
        <scheme val="minor"/>
      </rPr>
      <t>中1回発生する事象が、</t>
    </r>
    <r>
      <rPr>
        <sz val="11"/>
        <color rgb="FF00B050"/>
        <rFont val="Yu Gothic"/>
        <family val="3"/>
        <charset val="128"/>
        <scheme val="minor"/>
      </rPr>
      <t>k回発生する</t>
    </r>
    <r>
      <rPr>
        <sz val="11"/>
        <color theme="1"/>
        <rFont val="Yu Gothic"/>
        <family val="3"/>
        <charset val="128"/>
        <scheme val="minor"/>
      </rPr>
      <t>までに</t>
    </r>
    <r>
      <rPr>
        <sz val="11"/>
        <color theme="8"/>
        <rFont val="Yu Gothic"/>
        <family val="3"/>
        <charset val="128"/>
        <scheme val="minor"/>
      </rPr>
      <t>x回発生する</t>
    </r>
    <r>
      <rPr>
        <sz val="11"/>
        <color theme="1"/>
        <rFont val="Yu Gothic"/>
        <family val="3"/>
        <charset val="128"/>
        <scheme val="minor"/>
      </rPr>
      <t>分布</t>
    </r>
    <rPh sb="0" eb="2">
      <t>ヘイキン</t>
    </rPh>
    <rPh sb="3" eb="4">
      <t>カイ</t>
    </rPh>
    <rPh sb="4" eb="5">
      <t>チュウ</t>
    </rPh>
    <rPh sb="6" eb="7">
      <t>カイ</t>
    </rPh>
    <rPh sb="7" eb="9">
      <t>ハッセイ</t>
    </rPh>
    <rPh sb="11" eb="13">
      <t>ジショウ</t>
    </rPh>
    <rPh sb="16" eb="17">
      <t>カイハッセイ</t>
    </rPh>
    <rPh sb="25" eb="26">
      <t>カイ</t>
    </rPh>
    <rPh sb="26" eb="28">
      <t>ハッセイ</t>
    </rPh>
    <rPh sb="30" eb="32">
      <t>ブンプ</t>
    </rPh>
    <phoneticPr fontId="1"/>
  </si>
  <si>
    <t>kθ=k/λ</t>
    <phoneticPr fontId="1"/>
  </si>
  <si>
    <t>kθ^2=k/λ^2</t>
    <phoneticPr fontId="1"/>
  </si>
  <si>
    <t>※α=1の時、指数分布Ex(1/β)である。</t>
    <rPh sb="5" eb="6">
      <t>トキ</t>
    </rPh>
    <rPh sb="7" eb="9">
      <t>シスウ</t>
    </rPh>
    <rPh sb="9" eb="11">
      <t>ブンプ</t>
    </rPh>
    <phoneticPr fontId="1"/>
  </si>
  <si>
    <t>※α=1の時、指数分布Ex(1/β)</t>
    <rPh sb="5" eb="6">
      <t>トキ</t>
    </rPh>
    <rPh sb="7" eb="9">
      <t>シスウ</t>
    </rPh>
    <rPh sb="9" eb="11">
      <t>ブンプ</t>
    </rPh>
    <phoneticPr fontId="1"/>
  </si>
  <si>
    <t>※β=2の時、λ=1/2の時、自由度の2αのχ2乗分布</t>
    <rPh sb="5" eb="6">
      <t>トキ</t>
    </rPh>
    <rPh sb="13" eb="14">
      <t>トキ</t>
    </rPh>
    <rPh sb="15" eb="18">
      <t>ジユウド</t>
    </rPh>
    <rPh sb="24" eb="25">
      <t>ジョウ</t>
    </rPh>
    <rPh sb="25" eb="27">
      <t>ブンプ</t>
    </rPh>
    <phoneticPr fontId="1"/>
  </si>
  <si>
    <t>Y</t>
    <phoneticPr fontId="1"/>
  </si>
  <si>
    <t>X=</t>
    <phoneticPr fontId="1"/>
  </si>
  <si>
    <t>Y=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</si>
</sst>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%"/>
    <numFmt numFmtId="177" formatCode="0.000"/>
    <numFmt numFmtId="178" formatCode="0.000_ "/>
    <numFmt numFmtId="179" formatCode="0.00000000000000_ 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2"/>
      <name val="ＭＳ 明朝"/>
      <family val="1"/>
      <charset val="128"/>
    </font>
    <font>
      <u/>
      <sz val="9"/>
      <color indexed="12"/>
      <name val="ＭＳ 明朝"/>
      <family val="1"/>
      <charset val="128"/>
    </font>
    <font>
      <sz val="11"/>
      <color rgb="FFFF0000"/>
      <name val="Yu Gothic"/>
      <family val="3"/>
      <charset val="128"/>
      <scheme val="minor"/>
    </font>
    <font>
      <sz val="11"/>
      <color theme="4"/>
      <name val="Yu Gothic"/>
      <family val="3"/>
      <charset val="128"/>
      <scheme val="minor"/>
    </font>
    <font>
      <sz val="11"/>
      <color theme="4"/>
      <name val="Yu Gothic"/>
      <family val="2"/>
      <scheme val="minor"/>
    </font>
    <font>
      <sz val="11"/>
      <color rgb="FF00B050"/>
      <name val="Yu Gothic"/>
      <family val="3"/>
      <charset val="128"/>
      <scheme val="minor"/>
    </font>
    <font>
      <sz val="11"/>
      <color rgb="FF00B050"/>
      <name val="Yu Gothic"/>
      <family val="2"/>
      <scheme val="minor"/>
    </font>
    <font>
      <sz val="11"/>
      <color rgb="FF7030A0"/>
      <name val="Yu Gothic"/>
      <family val="3"/>
      <charset val="128"/>
      <scheme val="minor"/>
    </font>
    <font>
      <sz val="11"/>
      <color rgb="FF7030A0"/>
      <name val="Yu Gothic"/>
      <family val="2"/>
      <scheme val="minor"/>
    </font>
    <font>
      <sz val="11"/>
      <color theme="8"/>
      <name val="Yu Gothic"/>
      <family val="3"/>
      <charset val="128"/>
      <scheme val="minor"/>
    </font>
    <font>
      <sz val="11"/>
      <color theme="8"/>
      <name val="Yu Gothic"/>
      <family val="2"/>
      <scheme val="minor"/>
    </font>
    <font>
      <sz val="6"/>
      <color theme="1"/>
      <name val="Yu Gothic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/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</cellStyleXfs>
  <cellXfs count="15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8" xfId="0" applyFill="1" applyBorder="1"/>
    <xf numFmtId="0" fontId="0" fillId="5" borderId="7" xfId="0" applyFill="1" applyBorder="1"/>
    <xf numFmtId="0" fontId="0" fillId="6" borderId="6" xfId="0" applyFill="1" applyBorder="1"/>
    <xf numFmtId="0" fontId="0" fillId="7" borderId="0" xfId="0" applyFill="1" applyBorder="1"/>
    <xf numFmtId="0" fontId="0" fillId="5" borderId="0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7" xfId="0" applyFill="1" applyBorder="1"/>
    <xf numFmtId="0" fontId="0" fillId="5" borderId="10" xfId="0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5" borderId="13" xfId="0" applyFill="1" applyBorder="1"/>
    <xf numFmtId="0" fontId="0" fillId="6" borderId="14" xfId="0" applyFill="1" applyBorder="1"/>
    <xf numFmtId="0" fontId="0" fillId="5" borderId="15" xfId="0" applyFill="1" applyBorder="1"/>
    <xf numFmtId="0" fontId="0" fillId="6" borderId="16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2" fillId="5" borderId="9" xfId="0" applyFont="1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11" xfId="0" applyFill="1" applyBorder="1"/>
    <xf numFmtId="0" fontId="0" fillId="8" borderId="10" xfId="0" applyFill="1" applyBorder="1"/>
    <xf numFmtId="0" fontId="0" fillId="8" borderId="12" xfId="0" applyFill="1" applyBorder="1"/>
    <xf numFmtId="0" fontId="0" fillId="8" borderId="14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16" xfId="0" applyFill="1" applyBorder="1"/>
    <xf numFmtId="0" fontId="0" fillId="8" borderId="8" xfId="0" applyFill="1" applyBorder="1"/>
    <xf numFmtId="0" fontId="0" fillId="8" borderId="13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3" xfId="0" applyBorder="1"/>
    <xf numFmtId="0" fontId="0" fillId="0" borderId="0" xfId="0" applyAlignment="1">
      <alignment horizontal="center"/>
    </xf>
    <xf numFmtId="176" fontId="0" fillId="0" borderId="0" xfId="0" applyNumberFormat="1"/>
    <xf numFmtId="0" fontId="3" fillId="0" borderId="0" xfId="0" applyFont="1"/>
    <xf numFmtId="0" fontId="2" fillId="0" borderId="0" xfId="0" applyFont="1"/>
    <xf numFmtId="0" fontId="8" fillId="0" borderId="0" xfId="0" applyFont="1"/>
    <xf numFmtId="0" fontId="10" fillId="0" borderId="0" xfId="0" applyFont="1"/>
    <xf numFmtId="0" fontId="12" fillId="0" borderId="0" xfId="0" applyFont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  <xf numFmtId="0" fontId="14" fillId="0" borderId="0" xfId="0" applyFont="1"/>
    <xf numFmtId="0" fontId="0" fillId="0" borderId="31" xfId="0" applyBorder="1"/>
    <xf numFmtId="0" fontId="3" fillId="0" borderId="32" xfId="0" applyFont="1" applyBorder="1"/>
    <xf numFmtId="0" fontId="3" fillId="0" borderId="33" xfId="0" applyFont="1" applyBorder="1"/>
    <xf numFmtId="0" fontId="0" fillId="0" borderId="34" xfId="0" applyBorder="1"/>
    <xf numFmtId="0" fontId="0" fillId="0" borderId="32" xfId="0" applyBorder="1"/>
    <xf numFmtId="0" fontId="3" fillId="0" borderId="1" xfId="0" applyFont="1" applyBorder="1"/>
    <xf numFmtId="0" fontId="0" fillId="0" borderId="2" xfId="0" applyBorder="1"/>
    <xf numFmtId="0" fontId="0" fillId="0" borderId="35" xfId="0" applyBorder="1"/>
    <xf numFmtId="0" fontId="14" fillId="0" borderId="35" xfId="0" applyFont="1" applyBorder="1"/>
    <xf numFmtId="0" fontId="10" fillId="0" borderId="35" xfId="0" applyFont="1" applyBorder="1"/>
    <xf numFmtId="0" fontId="12" fillId="0" borderId="35" xfId="0" applyFont="1" applyBorder="1"/>
    <xf numFmtId="0" fontId="2" fillId="0" borderId="35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0" xfId="0" applyNumberFormat="1" applyBorder="1"/>
    <xf numFmtId="0" fontId="0" fillId="0" borderId="43" xfId="0" applyBorder="1"/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7" fontId="0" fillId="5" borderId="0" xfId="0" applyNumberFormat="1" applyFill="1" applyBorder="1" applyAlignment="1">
      <alignment horizontal="center" vertical="center"/>
    </xf>
    <xf numFmtId="177" fontId="0" fillId="5" borderId="5" xfId="0" applyNumberFormat="1" applyFill="1" applyBorder="1" applyAlignment="1">
      <alignment horizontal="center" vertical="center"/>
    </xf>
    <xf numFmtId="177" fontId="0" fillId="5" borderId="7" xfId="0" applyNumberFormat="1" applyFill="1" applyBorder="1" applyAlignment="1">
      <alignment horizontal="center" vertical="center"/>
    </xf>
    <xf numFmtId="177" fontId="0" fillId="5" borderId="8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4" borderId="2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7" fontId="0" fillId="4" borderId="6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9" fontId="15" fillId="0" borderId="32" xfId="0" applyNumberFormat="1" applyFont="1" applyBorder="1" applyAlignment="1">
      <alignment vertical="center"/>
    </xf>
    <xf numFmtId="178" fontId="15" fillId="0" borderId="33" xfId="0" applyNumberFormat="1" applyFont="1" applyBorder="1" applyAlignment="1">
      <alignment vertical="center"/>
    </xf>
    <xf numFmtId="178" fontId="15" fillId="0" borderId="34" xfId="0" applyNumberFormat="1" applyFont="1" applyBorder="1" applyAlignment="1">
      <alignment vertical="center"/>
    </xf>
    <xf numFmtId="179" fontId="15" fillId="0" borderId="0" xfId="0" applyNumberFormat="1" applyFont="1"/>
    <xf numFmtId="178" fontId="15" fillId="0" borderId="0" xfId="0" applyNumberFormat="1" applyFont="1"/>
    <xf numFmtId="0" fontId="15" fillId="0" borderId="0" xfId="0" applyFont="1"/>
    <xf numFmtId="0" fontId="0" fillId="0" borderId="20" xfId="0" applyBorder="1" applyAlignment="1">
      <alignment horizontal="left"/>
    </xf>
    <xf numFmtId="0" fontId="0" fillId="0" borderId="44" xfId="0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7" fontId="0" fillId="0" borderId="32" xfId="0" applyNumberFormat="1" applyBorder="1" applyAlignment="1">
      <alignment vertical="center"/>
    </xf>
    <xf numFmtId="177" fontId="0" fillId="0" borderId="33" xfId="0" applyNumberFormat="1" applyBorder="1" applyAlignment="1">
      <alignment vertical="center"/>
    </xf>
    <xf numFmtId="177" fontId="0" fillId="0" borderId="34" xfId="0" applyNumberFormat="1" applyBorder="1" applyAlignment="1">
      <alignment vertical="center"/>
    </xf>
    <xf numFmtId="0" fontId="0" fillId="0" borderId="34" xfId="0" applyBorder="1" applyAlignment="1">
      <alignment horizontal="left" vertical="center"/>
    </xf>
    <xf numFmtId="177" fontId="0" fillId="0" borderId="20" xfId="0" applyNumberFormat="1" applyBorder="1" applyAlignment="1">
      <alignment horizontal="center" vertical="center"/>
    </xf>
    <xf numFmtId="177" fontId="0" fillId="0" borderId="22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</cellXfs>
  <cellStyles count="5">
    <cellStyle name="ハイパーリンク 2" xfId="2" xr:uid="{67DB1B3D-3D7B-4D11-8D3A-48244827A2D4}"/>
    <cellStyle name="標準" xfId="0" builtinId="0"/>
    <cellStyle name="標準 2" xfId="3" xr:uid="{7FE53A9F-9D31-409B-9642-1EB2FCBF3C82}"/>
    <cellStyle name="標準 3" xfId="4" xr:uid="{8947BE40-F577-47CA-B2D6-5227954EBA7A}"/>
    <cellStyle name="標準 4" xfId="1" xr:uid="{E681E85B-113B-4798-A3F4-D09342F951E3}"/>
  </cellStyles>
  <dxfs count="0"/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超幾何分布!$B$16:$B$116</c:f>
              <c:numCache>
                <c:formatCode>0.000000000%</c:formatCode>
                <c:ptCount val="101"/>
                <c:pt idx="0">
                  <c:v>1.4696838026802162E-5</c:v>
                </c:pt>
                <c:pt idx="1">
                  <c:v>1.8348112393011491E-4</c:v>
                </c:pt>
                <c:pt idx="2">
                  <c:v>1.1211337254607562E-3</c:v>
                </c:pt>
                <c:pt idx="3">
                  <c:v>4.4696422994292637E-3</c:v>
                </c:pt>
                <c:pt idx="4">
                  <c:v>1.3076761316955857E-2</c:v>
                </c:pt>
                <c:pt idx="5">
                  <c:v>2.9941722309829836E-2</c:v>
                </c:pt>
                <c:pt idx="6">
                  <c:v>5.5877593847438942E-2</c:v>
                </c:pt>
                <c:pt idx="7">
                  <c:v>8.7402092270484774E-2</c:v>
                </c:pt>
                <c:pt idx="8">
                  <c:v>0.11694627104694073</c:v>
                </c:pt>
                <c:pt idx="9">
                  <c:v>0.13594743004275528</c:v>
                </c:pt>
                <c:pt idx="10">
                  <c:v>0.13898526767704494</c:v>
                </c:pt>
                <c:pt idx="11">
                  <c:v>0.12619444772828853</c:v>
                </c:pt>
                <c:pt idx="12">
                  <c:v>0.10258479273971358</c:v>
                </c:pt>
                <c:pt idx="13">
                  <c:v>7.5164787111017733E-2</c:v>
                </c:pt>
                <c:pt idx="14">
                  <c:v>4.9922979435178282E-2</c:v>
                </c:pt>
                <c:pt idx="15">
                  <c:v>3.0202892098370425E-2</c:v>
                </c:pt>
                <c:pt idx="16">
                  <c:v>1.6713840028395127E-2</c:v>
                </c:pt>
                <c:pt idx="17">
                  <c:v>8.491097648524468E-3</c:v>
                </c:pt>
                <c:pt idx="18">
                  <c:v>3.9727772141187811E-3</c:v>
                </c:pt>
                <c:pt idx="19">
                  <c:v>1.7166604966091228E-3</c:v>
                </c:pt>
                <c:pt idx="20">
                  <c:v>6.867688730641772E-4</c:v>
                </c:pt>
                <c:pt idx="21">
                  <c:v>2.5493421423413576E-4</c:v>
                </c:pt>
                <c:pt idx="22">
                  <c:v>8.798078030497887E-5</c:v>
                </c:pt>
                <c:pt idx="23">
                  <c:v>2.8278042547175868E-5</c:v>
                </c:pt>
                <c:pt idx="24">
                  <c:v>8.4779790787927615E-6</c:v>
                </c:pt>
                <c:pt idx="25">
                  <c:v>2.3742451955930567E-6</c:v>
                </c:pt>
                <c:pt idx="26">
                  <c:v>6.2186297379451063E-7</c:v>
                </c:pt>
                <c:pt idx="27">
                  <c:v>1.5250667940788888E-7</c:v>
                </c:pt>
                <c:pt idx="28">
                  <c:v>3.5054696970524615E-8</c:v>
                </c:pt>
                <c:pt idx="29">
                  <c:v>7.5589014223700343E-9</c:v>
                </c:pt>
                <c:pt idx="30">
                  <c:v>1.5302980751071356E-9</c:v>
                </c:pt>
                <c:pt idx="31">
                  <c:v>2.9107800815282656E-10</c:v>
                </c:pt>
                <c:pt idx="32">
                  <c:v>5.2051622476547426E-11</c:v>
                </c:pt>
                <c:pt idx="33">
                  <c:v>8.7557460195554163E-12</c:v>
                </c:pt>
                <c:pt idx="34">
                  <c:v>1.3861103075815938E-12</c:v>
                </c:pt>
                <c:pt idx="35">
                  <c:v>2.066003934927462E-13</c:v>
                </c:pt>
                <c:pt idx="36">
                  <c:v>2.9003411167824933E-14</c:v>
                </c:pt>
                <c:pt idx="37">
                  <c:v>3.8360286784658221E-15</c:v>
                </c:pt>
                <c:pt idx="38">
                  <c:v>4.7811825853632912E-16</c:v>
                </c:pt>
                <c:pt idx="39">
                  <c:v>5.6168411289804244E-17</c:v>
                </c:pt>
                <c:pt idx="40">
                  <c:v>6.2203172145642383E-18</c:v>
                </c:pt>
                <c:pt idx="41">
                  <c:v>6.494342383466614E-19</c:v>
                </c:pt>
                <c:pt idx="42">
                  <c:v>6.3926042972647932E-20</c:v>
                </c:pt>
                <c:pt idx="43">
                  <c:v>5.9325004430464092E-21</c:v>
                </c:pt>
                <c:pt idx="44">
                  <c:v>5.1902988850327588E-22</c:v>
                </c:pt>
                <c:pt idx="45">
                  <c:v>4.2805462993985403E-23</c:v>
                </c:pt>
                <c:pt idx="46">
                  <c:v>3.32733388726505E-24</c:v>
                </c:pt>
                <c:pt idx="47">
                  <c:v>2.4372643410447403E-25</c:v>
                </c:pt>
                <c:pt idx="48">
                  <c:v>1.6819662770230498E-26</c:v>
                </c:pt>
                <c:pt idx="49">
                  <c:v>1.0932517999736125E-27</c:v>
                </c:pt>
                <c:pt idx="50">
                  <c:v>6.6907010158385149E-29</c:v>
                </c:pt>
                <c:pt idx="51">
                  <c:v>3.8540016450303025E-30</c:v>
                </c:pt>
                <c:pt idx="52">
                  <c:v>2.0886281034935327E-31</c:v>
                </c:pt>
                <c:pt idx="53">
                  <c:v>1.0644338849452939E-32</c:v>
                </c:pt>
                <c:pt idx="54">
                  <c:v>5.0987389449305351E-34</c:v>
                </c:pt>
                <c:pt idx="55">
                  <c:v>2.2942969925513589E-35</c:v>
                </c:pt>
                <c:pt idx="56">
                  <c:v>9.6919880881107569E-37</c:v>
                </c:pt>
                <c:pt idx="57">
                  <c:v>3.8411613213333366E-38</c:v>
                </c:pt>
                <c:pt idx="58">
                  <c:v>1.4271978303885642E-39</c:v>
                </c:pt>
                <c:pt idx="59">
                  <c:v>4.96749664135536E-41</c:v>
                </c:pt>
                <c:pt idx="60">
                  <c:v>1.6182871810307209E-42</c:v>
                </c:pt>
                <c:pt idx="61">
                  <c:v>4.9299508570841724E-44</c:v>
                </c:pt>
                <c:pt idx="62">
                  <c:v>1.4030490333105947E-45</c:v>
                </c:pt>
                <c:pt idx="63">
                  <c:v>3.72639335669301E-47</c:v>
                </c:pt>
                <c:pt idx="64">
                  <c:v>9.2256808906844419E-49</c:v>
                </c:pt>
                <c:pt idx="65">
                  <c:v>2.1265420069945768E-50</c:v>
                </c:pt>
                <c:pt idx="66">
                  <c:v>4.5577261504798497E-52</c:v>
                </c:pt>
                <c:pt idx="67">
                  <c:v>9.0701017919998652E-54</c:v>
                </c:pt>
                <c:pt idx="68">
                  <c:v>1.6734448447221738E-55</c:v>
                </c:pt>
                <c:pt idx="69">
                  <c:v>2.8578701505902486E-57</c:v>
                </c:pt>
                <c:pt idx="70">
                  <c:v>4.50970971217953E-59</c:v>
                </c:pt>
                <c:pt idx="71">
                  <c:v>6.5631841997405693E-61</c:v>
                </c:pt>
                <c:pt idx="72">
                  <c:v>8.7914722094511613E-63</c:v>
                </c:pt>
                <c:pt idx="73">
                  <c:v>1.0815349702976235E-64</c:v>
                </c:pt>
                <c:pt idx="74">
                  <c:v>1.2190596099742504E-66</c:v>
                </c:pt>
                <c:pt idx="75">
                  <c:v>1.2557474991887378E-68</c:v>
                </c:pt>
                <c:pt idx="76">
                  <c:v>1.178866538982463E-70</c:v>
                </c:pt>
                <c:pt idx="77">
                  <c:v>1.0055341060194556E-72</c:v>
                </c:pt>
                <c:pt idx="78">
                  <c:v>7.7671798096533188E-75</c:v>
                </c:pt>
                <c:pt idx="79">
                  <c:v>5.4136821587711785E-77</c:v>
                </c:pt>
                <c:pt idx="80">
                  <c:v>3.3912412386619798E-79</c:v>
                </c:pt>
                <c:pt idx="81">
                  <c:v>1.9008933387491725E-81</c:v>
                </c:pt>
                <c:pt idx="82">
                  <c:v>9.4881712196292503E-84</c:v>
                </c:pt>
                <c:pt idx="83">
                  <c:v>4.1945823727432947E-86</c:v>
                </c:pt>
                <c:pt idx="84">
                  <c:v>1.6325068758387031E-88</c:v>
                </c:pt>
                <c:pt idx="85">
                  <c:v>5.5556232663970589E-91</c:v>
                </c:pt>
                <c:pt idx="86">
                  <c:v>1.6405260577186745E-93</c:v>
                </c:pt>
                <c:pt idx="87">
                  <c:v>4.166739329431051E-96</c:v>
                </c:pt>
                <c:pt idx="88">
                  <c:v>9.0112989695159892E-99</c:v>
                </c:pt>
                <c:pt idx="89">
                  <c:v>1.6400539068138969E-101</c:v>
                </c:pt>
                <c:pt idx="90">
                  <c:v>2.4774846782083489E-104</c:v>
                </c:pt>
                <c:pt idx="91">
                  <c:v>3.0555674920245768E-107</c:v>
                </c:pt>
                <c:pt idx="92">
                  <c:v>3.0159505611958273E-110</c:v>
                </c:pt>
                <c:pt idx="93">
                  <c:v>2.3241801336143413E-113</c:v>
                </c:pt>
                <c:pt idx="94">
                  <c:v>1.3551909484875904E-116</c:v>
                </c:pt>
                <c:pt idx="95">
                  <c:v>5.7379446216468944E-120</c:v>
                </c:pt>
                <c:pt idx="96">
                  <c:v>1.6676968882669761E-123</c:v>
                </c:pt>
                <c:pt idx="97">
                  <c:v>3.0667115140128081E-127</c:v>
                </c:pt>
                <c:pt idx="98">
                  <c:v>3.1362669453788456E-131</c:v>
                </c:pt>
                <c:pt idx="99">
                  <c:v>1.409542340144005E-135</c:v>
                </c:pt>
                <c:pt idx="100">
                  <c:v>1.5661581557156247E-140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E-4C29-843F-7BC012A28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超幾何分布!$C$16:$C$116</c:f>
              <c:numCache>
                <c:formatCode>0.000000000%</c:formatCode>
                <c:ptCount val="101"/>
                <c:pt idx="0">
                  <c:v>1.4696838026802162E-5</c:v>
                </c:pt>
                <c:pt idx="1">
                  <c:v>1.9817796195691707E-4</c:v>
                </c:pt>
                <c:pt idx="2">
                  <c:v>1.3193116874176732E-3</c:v>
                </c:pt>
                <c:pt idx="3">
                  <c:v>5.788953986846937E-3</c:v>
                </c:pt>
                <c:pt idx="4">
                  <c:v>1.8865715303802794E-2</c:v>
                </c:pt>
                <c:pt idx="5">
                  <c:v>4.8807437613632626E-2</c:v>
                </c:pt>
                <c:pt idx="6">
                  <c:v>0.10468503146107157</c:v>
                </c:pt>
                <c:pt idx="7">
                  <c:v>0.19208712373155634</c:v>
                </c:pt>
                <c:pt idx="8">
                  <c:v>0.30903339477849706</c:v>
                </c:pt>
                <c:pt idx="9">
                  <c:v>0.44498082482125234</c:v>
                </c:pt>
                <c:pt idx="10">
                  <c:v>0.58396609249829723</c:v>
                </c:pt>
                <c:pt idx="11">
                  <c:v>0.71016054022658581</c:v>
                </c:pt>
                <c:pt idx="12">
                  <c:v>0.81274533296629936</c:v>
                </c:pt>
                <c:pt idx="13">
                  <c:v>0.88791012007731707</c:v>
                </c:pt>
                <c:pt idx="14">
                  <c:v>0.93783309951249538</c:v>
                </c:pt>
                <c:pt idx="15">
                  <c:v>0.96803599161086584</c:v>
                </c:pt>
                <c:pt idx="16">
                  <c:v>0.984749831639261</c:v>
                </c:pt>
                <c:pt idx="17">
                  <c:v>0.99324092928778551</c:v>
                </c:pt>
                <c:pt idx="18">
                  <c:v>0.99721370650190433</c:v>
                </c:pt>
                <c:pt idx="19">
                  <c:v>0.99893036699851345</c:v>
                </c:pt>
                <c:pt idx="20">
                  <c:v>0.99961713587157763</c:v>
                </c:pt>
                <c:pt idx="21">
                  <c:v>0.9998720700858118</c:v>
                </c:pt>
                <c:pt idx="22">
                  <c:v>0.99996005086611683</c:v>
                </c:pt>
                <c:pt idx="23">
                  <c:v>0.99998832890866396</c:v>
                </c:pt>
                <c:pt idx="24">
                  <c:v>0.99999680688774273</c:v>
                </c:pt>
                <c:pt idx="25">
                  <c:v>0.99999918113293829</c:v>
                </c:pt>
                <c:pt idx="26">
                  <c:v>0.99999980299591207</c:v>
                </c:pt>
                <c:pt idx="27">
                  <c:v>0.99999995550259146</c:v>
                </c:pt>
                <c:pt idx="28">
                  <c:v>0.99999999055728839</c:v>
                </c:pt>
                <c:pt idx="29">
                  <c:v>0.99999999811618978</c:v>
                </c:pt>
                <c:pt idx="30">
                  <c:v>0.99999999964648789</c:v>
                </c:pt>
                <c:pt idx="31">
                  <c:v>0.99999999993756594</c:v>
                </c:pt>
                <c:pt idx="32">
                  <c:v>0.99999999998961753</c:v>
                </c:pt>
                <c:pt idx="33">
                  <c:v>0.9999999999983733</c:v>
                </c:pt>
                <c:pt idx="34">
                  <c:v>0.99999999999975941</c:v>
                </c:pt>
                <c:pt idx="35">
                  <c:v>0.99999999999996603</c:v>
                </c:pt>
                <c:pt idx="36">
                  <c:v>0.999999999999995</c:v>
                </c:pt>
                <c:pt idx="37">
                  <c:v>0.99999999999999889</c:v>
                </c:pt>
                <c:pt idx="38">
                  <c:v>0.99999999999999933</c:v>
                </c:pt>
                <c:pt idx="39">
                  <c:v>0.99999999999999944</c:v>
                </c:pt>
                <c:pt idx="40">
                  <c:v>0.99999999999999944</c:v>
                </c:pt>
                <c:pt idx="41">
                  <c:v>0.99999999999999944</c:v>
                </c:pt>
                <c:pt idx="42">
                  <c:v>0.99999999999999944</c:v>
                </c:pt>
                <c:pt idx="43">
                  <c:v>0.99999999999999944</c:v>
                </c:pt>
                <c:pt idx="44">
                  <c:v>0.99999999999999944</c:v>
                </c:pt>
                <c:pt idx="45">
                  <c:v>0.99999999999999944</c:v>
                </c:pt>
                <c:pt idx="46">
                  <c:v>0.99999999999999944</c:v>
                </c:pt>
                <c:pt idx="47">
                  <c:v>0.99999999999999944</c:v>
                </c:pt>
                <c:pt idx="48">
                  <c:v>0.99999999999999944</c:v>
                </c:pt>
                <c:pt idx="49">
                  <c:v>0.99999999999999944</c:v>
                </c:pt>
                <c:pt idx="50">
                  <c:v>0.99999999999999944</c:v>
                </c:pt>
                <c:pt idx="51">
                  <c:v>0.99999999999999944</c:v>
                </c:pt>
                <c:pt idx="52">
                  <c:v>0.99999999999999944</c:v>
                </c:pt>
                <c:pt idx="53">
                  <c:v>0.99999999999999944</c:v>
                </c:pt>
                <c:pt idx="54">
                  <c:v>0.99999999999999944</c:v>
                </c:pt>
                <c:pt idx="55">
                  <c:v>0.99999999999999944</c:v>
                </c:pt>
                <c:pt idx="56">
                  <c:v>0.99999999999999944</c:v>
                </c:pt>
                <c:pt idx="57">
                  <c:v>0.99999999999999944</c:v>
                </c:pt>
                <c:pt idx="58">
                  <c:v>0.99999999999999944</c:v>
                </c:pt>
                <c:pt idx="59">
                  <c:v>0.99999999999999944</c:v>
                </c:pt>
                <c:pt idx="60">
                  <c:v>0.99999999999999944</c:v>
                </c:pt>
                <c:pt idx="61">
                  <c:v>0.99999999999999944</c:v>
                </c:pt>
                <c:pt idx="62">
                  <c:v>0.99999999999999944</c:v>
                </c:pt>
                <c:pt idx="63">
                  <c:v>0.99999999999999944</c:v>
                </c:pt>
                <c:pt idx="64">
                  <c:v>0.99999999999999944</c:v>
                </c:pt>
                <c:pt idx="65">
                  <c:v>0.99999999999999944</c:v>
                </c:pt>
                <c:pt idx="66">
                  <c:v>0.99999999999999944</c:v>
                </c:pt>
                <c:pt idx="67">
                  <c:v>0.99999999999999944</c:v>
                </c:pt>
                <c:pt idx="68">
                  <c:v>0.99999999999999944</c:v>
                </c:pt>
                <c:pt idx="69">
                  <c:v>0.99999999999999944</c:v>
                </c:pt>
                <c:pt idx="70">
                  <c:v>0.99999999999999944</c:v>
                </c:pt>
                <c:pt idx="71">
                  <c:v>0.99999999999999944</c:v>
                </c:pt>
                <c:pt idx="72">
                  <c:v>0.99999999999999944</c:v>
                </c:pt>
                <c:pt idx="73">
                  <c:v>0.99999999999999944</c:v>
                </c:pt>
                <c:pt idx="74">
                  <c:v>0.99999999999999944</c:v>
                </c:pt>
                <c:pt idx="75">
                  <c:v>0.99999999999999944</c:v>
                </c:pt>
                <c:pt idx="76">
                  <c:v>0.99999999999999944</c:v>
                </c:pt>
                <c:pt idx="77">
                  <c:v>0.99999999999999944</c:v>
                </c:pt>
                <c:pt idx="78">
                  <c:v>0.99999999999999944</c:v>
                </c:pt>
                <c:pt idx="79">
                  <c:v>0.99999999999999944</c:v>
                </c:pt>
                <c:pt idx="80">
                  <c:v>0.99999999999999944</c:v>
                </c:pt>
                <c:pt idx="81">
                  <c:v>0.99999999999999944</c:v>
                </c:pt>
                <c:pt idx="82">
                  <c:v>0.99999999999999944</c:v>
                </c:pt>
                <c:pt idx="83">
                  <c:v>0.99999999999999944</c:v>
                </c:pt>
                <c:pt idx="84">
                  <c:v>0.99999999999999944</c:v>
                </c:pt>
                <c:pt idx="85">
                  <c:v>0.99999999999999944</c:v>
                </c:pt>
                <c:pt idx="86">
                  <c:v>0.99999999999999944</c:v>
                </c:pt>
                <c:pt idx="87">
                  <c:v>0.99999999999999944</c:v>
                </c:pt>
                <c:pt idx="88">
                  <c:v>0.99999999999999944</c:v>
                </c:pt>
                <c:pt idx="89">
                  <c:v>0.99999999999999944</c:v>
                </c:pt>
                <c:pt idx="90">
                  <c:v>0.99999999999999944</c:v>
                </c:pt>
                <c:pt idx="91">
                  <c:v>0.99999999999999944</c:v>
                </c:pt>
                <c:pt idx="92">
                  <c:v>0.99999999999999944</c:v>
                </c:pt>
                <c:pt idx="93">
                  <c:v>0.99999999999999944</c:v>
                </c:pt>
                <c:pt idx="94">
                  <c:v>0.99999999999999944</c:v>
                </c:pt>
                <c:pt idx="95">
                  <c:v>0.99999999999999944</c:v>
                </c:pt>
                <c:pt idx="96">
                  <c:v>0.99999999999999944</c:v>
                </c:pt>
                <c:pt idx="97">
                  <c:v>0.99999999999999944</c:v>
                </c:pt>
                <c:pt idx="98">
                  <c:v>0.99999999999999944</c:v>
                </c:pt>
                <c:pt idx="99">
                  <c:v>0.99999999999999944</c:v>
                </c:pt>
                <c:pt idx="100">
                  <c:v>0.99999999999999944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2-4DDF-B2FB-C14EEAB97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二項分布!$B$16:$B$116</c:f>
              <c:numCache>
                <c:formatCode>0.000000000%</c:formatCode>
                <c:ptCount val="101"/>
                <c:pt idx="0">
                  <c:v>2.6561398887587476E-5</c:v>
                </c:pt>
                <c:pt idx="1">
                  <c:v>2.9512665430652773E-4</c:v>
                </c:pt>
                <c:pt idx="2">
                  <c:v>1.6231965986859046E-3</c:v>
                </c:pt>
                <c:pt idx="3">
                  <c:v>5.8916024693043889E-3</c:v>
                </c:pt>
                <c:pt idx="4">
                  <c:v>1.5874595542292376E-2</c:v>
                </c:pt>
                <c:pt idx="5">
                  <c:v>3.3865803823557049E-2</c:v>
                </c:pt>
                <c:pt idx="6">
                  <c:v>5.9578728948850357E-2</c:v>
                </c:pt>
                <c:pt idx="7">
                  <c:v>8.889524636812593E-2</c:v>
                </c:pt>
                <c:pt idx="8">
                  <c:v>0.11482302655882935</c:v>
                </c:pt>
                <c:pt idx="9">
                  <c:v>0.1304162770791642</c:v>
                </c:pt>
                <c:pt idx="10">
                  <c:v>0.13186534682448822</c:v>
                </c:pt>
                <c:pt idx="11">
                  <c:v>0.11987758802226202</c:v>
                </c:pt>
                <c:pt idx="12">
                  <c:v>9.8788012351678889E-2</c:v>
                </c:pt>
                <c:pt idx="13">
                  <c:v>7.4302094760237067E-2</c:v>
                </c:pt>
                <c:pt idx="14">
                  <c:v>5.1303827334449464E-2</c:v>
                </c:pt>
                <c:pt idx="15">
                  <c:v>3.2682438153797441E-2</c:v>
                </c:pt>
                <c:pt idx="16">
                  <c:v>1.9291716965783169E-2</c:v>
                </c:pt>
                <c:pt idx="17">
                  <c:v>1.0591530883175089E-2</c:v>
                </c:pt>
                <c:pt idx="18">
                  <c:v>5.4265250821205688E-3</c:v>
                </c:pt>
                <c:pt idx="19">
                  <c:v>2.6021933142332623E-3</c:v>
                </c:pt>
                <c:pt idx="20">
                  <c:v>1.1709869914049654E-3</c:v>
                </c:pt>
                <c:pt idx="21">
                  <c:v>4.9565586937776347E-4</c:v>
                </c:pt>
                <c:pt idx="22">
                  <c:v>1.9776168525678398E-4</c:v>
                </c:pt>
                <c:pt idx="23">
                  <c:v>7.4518895893861071E-5</c:v>
                </c:pt>
                <c:pt idx="24">
                  <c:v>2.6564606406607781E-5</c:v>
                </c:pt>
                <c:pt idx="25">
                  <c:v>8.9729337195652582E-6</c:v>
                </c:pt>
                <c:pt idx="26">
                  <c:v>2.8759402947324655E-6</c:v>
                </c:pt>
                <c:pt idx="27">
                  <c:v>8.7580074819013169E-7</c:v>
                </c:pt>
                <c:pt idx="28">
                  <c:v>2.5370418499158747E-7</c:v>
                </c:pt>
                <c:pt idx="29">
                  <c:v>6.9987361376989486E-8</c:v>
                </c:pt>
                <c:pt idx="30">
                  <c:v>1.8404083917652675E-8</c:v>
                </c:pt>
                <c:pt idx="31">
                  <c:v>4.6175120940347336E-9</c:v>
                </c:pt>
                <c:pt idx="32">
                  <c:v>1.1062789391958223E-9</c:v>
                </c:pt>
                <c:pt idx="33">
                  <c:v>2.5328945409197227E-10</c:v>
                </c:pt>
                <c:pt idx="34">
                  <c:v>5.545880203974561E-11</c:v>
                </c:pt>
                <c:pt idx="35">
                  <c:v>1.1619939474994299E-11</c:v>
                </c:pt>
                <c:pt idx="36">
                  <c:v>2.3311606971439327E-12</c:v>
                </c:pt>
                <c:pt idx="37">
                  <c:v>4.4803088473636733E-13</c:v>
                </c:pt>
                <c:pt idx="38">
                  <c:v>8.2532005083015306E-14</c:v>
                </c:pt>
                <c:pt idx="39">
                  <c:v>1.4578302892156667E-14</c:v>
                </c:pt>
                <c:pt idx="40">
                  <c:v>2.4702124345043022E-15</c:v>
                </c:pt>
                <c:pt idx="41">
                  <c:v>4.0166055845598617E-16</c:v>
                </c:pt>
                <c:pt idx="42">
                  <c:v>6.2693050129372666E-17</c:v>
                </c:pt>
                <c:pt idx="43">
                  <c:v>9.3958576421283492E-18</c:v>
                </c:pt>
                <c:pt idx="44">
                  <c:v>1.3524340545487657E-18</c:v>
                </c:pt>
                <c:pt idx="45">
                  <c:v>1.8700322729563154E-19</c:v>
                </c:pt>
                <c:pt idx="46">
                  <c:v>2.4843423916086421E-20</c:v>
                </c:pt>
                <c:pt idx="47">
                  <c:v>3.1715009254578644E-21</c:v>
                </c:pt>
                <c:pt idx="48">
                  <c:v>3.8909617835478817E-22</c:v>
                </c:pt>
                <c:pt idx="49">
                  <c:v>4.587982148401027E-23</c:v>
                </c:pt>
                <c:pt idx="50">
                  <c:v>5.1997131015211782E-24</c:v>
                </c:pt>
                <c:pt idx="51">
                  <c:v>5.6641754918532132E-25</c:v>
                </c:pt>
                <c:pt idx="52">
                  <c:v>5.9304401517266333E-26</c:v>
                </c:pt>
                <c:pt idx="53">
                  <c:v>5.9677385174607181E-27</c:v>
                </c:pt>
                <c:pt idx="54">
                  <c:v>5.7712697596842454E-28</c:v>
                </c:pt>
                <c:pt idx="55">
                  <c:v>5.363200180716623E-29</c:v>
                </c:pt>
                <c:pt idx="56">
                  <c:v>4.7885715899256424E-30</c:v>
                </c:pt>
                <c:pt idx="57">
                  <c:v>4.1071569192343688E-31</c:v>
                </c:pt>
                <c:pt idx="58">
                  <c:v>3.3832901825110975E-32</c:v>
                </c:pt>
                <c:pt idx="59">
                  <c:v>2.6760487319297037E-33</c:v>
                </c:pt>
                <c:pt idx="60">
                  <c:v>2.0318147779466289E-34</c:v>
                </c:pt>
                <c:pt idx="61">
                  <c:v>1.4803750658991942E-35</c:v>
                </c:pt>
                <c:pt idx="62">
                  <c:v>1.0346707449832798E-36</c:v>
                </c:pt>
                <c:pt idx="63">
                  <c:v>6.9343012891297561E-38</c:v>
                </c:pt>
                <c:pt idx="64">
                  <c:v>4.4543254808645239E-39</c:v>
                </c:pt>
                <c:pt idx="65">
                  <c:v>2.7411233728397261E-40</c:v>
                </c:pt>
                <c:pt idx="66">
                  <c:v>1.6151400345015282E-41</c:v>
                </c:pt>
                <c:pt idx="67">
                  <c:v>9.1069255676700303E-43</c:v>
                </c:pt>
                <c:pt idx="68">
                  <c:v>4.9105971198221842E-44</c:v>
                </c:pt>
                <c:pt idx="69">
                  <c:v>2.5304204160113902E-45</c:v>
                </c:pt>
                <c:pt idx="70">
                  <c:v>1.245127506291343E-46</c:v>
                </c:pt>
                <c:pt idx="71">
                  <c:v>5.8456690436213078E-48</c:v>
                </c:pt>
                <c:pt idx="72">
                  <c:v>2.6161173189045807E-49</c:v>
                </c:pt>
                <c:pt idx="73">
                  <c:v>1.114935843673196E-50</c:v>
                </c:pt>
                <c:pt idx="74">
                  <c:v>4.5200101770534302E-52</c:v>
                </c:pt>
                <c:pt idx="75">
                  <c:v>1.7410409570873E-53</c:v>
                </c:pt>
                <c:pt idx="76">
                  <c:v>6.3634537905236743E-55</c:v>
                </c:pt>
                <c:pt idx="77">
                  <c:v>2.2037935205276515E-56</c:v>
                </c:pt>
                <c:pt idx="78">
                  <c:v>7.2204061213869564E-58</c:v>
                </c:pt>
                <c:pt idx="79">
                  <c:v>2.2341622316527636E-59</c:v>
                </c:pt>
                <c:pt idx="80">
                  <c:v>6.5163065089875096E-61</c:v>
                </c:pt>
                <c:pt idx="81">
                  <c:v>1.7877384112448034E-62</c:v>
                </c:pt>
                <c:pt idx="82">
                  <c:v>4.6025785655353375E-64</c:v>
                </c:pt>
                <c:pt idx="83">
                  <c:v>1.1090550760326037E-65</c:v>
                </c:pt>
                <c:pt idx="84">
                  <c:v>2.4939069170045814E-67</c:v>
                </c:pt>
                <c:pt idx="85">
                  <c:v>5.2160144669377636E-69</c:v>
                </c:pt>
                <c:pt idx="86">
                  <c:v>1.010855516848429E-70</c:v>
                </c:pt>
                <c:pt idx="87">
                  <c:v>1.8074045001120615E-72</c:v>
                </c:pt>
                <c:pt idx="88">
                  <c:v>2.9666993057394377E-74</c:v>
                </c:pt>
                <c:pt idx="89">
                  <c:v>4.4444933419318628E-76</c:v>
                </c:pt>
                <c:pt idx="90">
                  <c:v>6.0357316989197273E-78</c:v>
                </c:pt>
                <c:pt idx="91">
                  <c:v>7.3696357740169999E-80</c:v>
                </c:pt>
                <c:pt idx="92">
                  <c:v>8.0104736674095456E-82</c:v>
                </c:pt>
                <c:pt idx="93">
                  <c:v>7.6563667072015817E-84</c:v>
                </c:pt>
                <c:pt idx="94">
                  <c:v>6.3350551950838622E-86</c:v>
                </c:pt>
                <c:pt idx="95">
                  <c:v>4.445652768479891E-88</c:v>
                </c:pt>
                <c:pt idx="96">
                  <c:v>2.5727157224999704E-90</c:v>
                </c:pt>
                <c:pt idx="97">
                  <c:v>1.1787930000000177E-92</c:v>
                </c:pt>
                <c:pt idx="98">
                  <c:v>4.0094999999999102E-95</c:v>
                </c:pt>
                <c:pt idx="99">
                  <c:v>8.999999999999935E-98</c:v>
                </c:pt>
                <c:pt idx="100">
                  <c:v>1.0000000000000174E-100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9-4CD6-A127-2B654A37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二項分布!$C$16:$C$116</c:f>
              <c:numCache>
                <c:formatCode>0.000000000%</c:formatCode>
                <c:ptCount val="101"/>
                <c:pt idx="0">
                  <c:v>2.6561398887587476E-5</c:v>
                </c:pt>
                <c:pt idx="1">
                  <c:v>3.2168805319411522E-4</c:v>
                </c:pt>
                <c:pt idx="2">
                  <c:v>1.9448846518800198E-3</c:v>
                </c:pt>
                <c:pt idx="3">
                  <c:v>7.8364871211844093E-3</c:v>
                </c:pt>
                <c:pt idx="4">
                  <c:v>2.3711082663476785E-2</c:v>
                </c:pt>
                <c:pt idx="5">
                  <c:v>5.7576886487033838E-2</c:v>
                </c:pt>
                <c:pt idx="6">
                  <c:v>0.11715561543588419</c:v>
                </c:pt>
                <c:pt idx="7">
                  <c:v>0.20605086180401011</c:v>
                </c:pt>
                <c:pt idx="8">
                  <c:v>0.32087388836283948</c:v>
                </c:pt>
                <c:pt idx="9">
                  <c:v>0.45129016544200368</c:v>
                </c:pt>
                <c:pt idx="10">
                  <c:v>0.58315551226649187</c:v>
                </c:pt>
                <c:pt idx="11">
                  <c:v>0.70303310028875388</c:v>
                </c:pt>
                <c:pt idx="12">
                  <c:v>0.80182111264043276</c:v>
                </c:pt>
                <c:pt idx="13">
                  <c:v>0.87612320740066985</c:v>
                </c:pt>
                <c:pt idx="14">
                  <c:v>0.92742703473511934</c:v>
                </c:pt>
                <c:pt idx="15">
                  <c:v>0.96010947288891679</c:v>
                </c:pt>
                <c:pt idx="16">
                  <c:v>0.97940118985469993</c:v>
                </c:pt>
                <c:pt idx="17">
                  <c:v>0.98999272073787503</c:v>
                </c:pt>
                <c:pt idx="18">
                  <c:v>0.99541924581999564</c:v>
                </c:pt>
                <c:pt idx="19">
                  <c:v>0.99802143913422892</c:v>
                </c:pt>
                <c:pt idx="20">
                  <c:v>0.99919242612563386</c:v>
                </c:pt>
                <c:pt idx="21">
                  <c:v>0.99968808199501158</c:v>
                </c:pt>
                <c:pt idx="22">
                  <c:v>0.99988584368026834</c:v>
                </c:pt>
                <c:pt idx="23">
                  <c:v>0.99996036257616217</c:v>
                </c:pt>
                <c:pt idx="24">
                  <c:v>0.99998692718256876</c:v>
                </c:pt>
                <c:pt idx="25">
                  <c:v>0.99999590011628836</c:v>
                </c:pt>
                <c:pt idx="26">
                  <c:v>0.99999877605658305</c:v>
                </c:pt>
                <c:pt idx="27">
                  <c:v>0.9999996518573312</c:v>
                </c:pt>
                <c:pt idx="28">
                  <c:v>0.99999990556151619</c:v>
                </c:pt>
                <c:pt idx="29">
                  <c:v>0.99999997554887754</c:v>
                </c:pt>
                <c:pt idx="30">
                  <c:v>0.99999999395296146</c:v>
                </c:pt>
                <c:pt idx="31">
                  <c:v>0.9999999985704735</c:v>
                </c:pt>
                <c:pt idx="32">
                  <c:v>0.99999999967675246</c:v>
                </c:pt>
                <c:pt idx="33">
                  <c:v>0.99999999993004196</c:v>
                </c:pt>
                <c:pt idx="34">
                  <c:v>0.99999999998550071</c:v>
                </c:pt>
                <c:pt idx="35">
                  <c:v>0.99999999999712064</c:v>
                </c:pt>
                <c:pt idx="36">
                  <c:v>0.99999999999945177</c:v>
                </c:pt>
                <c:pt idx="37">
                  <c:v>0.99999999999989986</c:v>
                </c:pt>
                <c:pt idx="38">
                  <c:v>0.99999999999998235</c:v>
                </c:pt>
                <c:pt idx="39">
                  <c:v>0.99999999999999689</c:v>
                </c:pt>
                <c:pt idx="40">
                  <c:v>0.99999999999999933</c:v>
                </c:pt>
                <c:pt idx="41">
                  <c:v>0.99999999999999978</c:v>
                </c:pt>
                <c:pt idx="42">
                  <c:v>0.99999999999999989</c:v>
                </c:pt>
                <c:pt idx="43">
                  <c:v>0.99999999999999989</c:v>
                </c:pt>
                <c:pt idx="44">
                  <c:v>0.99999999999999989</c:v>
                </c:pt>
                <c:pt idx="45">
                  <c:v>0.99999999999999989</c:v>
                </c:pt>
                <c:pt idx="46">
                  <c:v>0.99999999999999989</c:v>
                </c:pt>
                <c:pt idx="47">
                  <c:v>0.99999999999999989</c:v>
                </c:pt>
                <c:pt idx="48">
                  <c:v>0.99999999999999989</c:v>
                </c:pt>
                <c:pt idx="49">
                  <c:v>0.99999999999999989</c:v>
                </c:pt>
                <c:pt idx="50">
                  <c:v>0.99999999999999989</c:v>
                </c:pt>
                <c:pt idx="51">
                  <c:v>0.99999999999999989</c:v>
                </c:pt>
                <c:pt idx="52">
                  <c:v>0.99999999999999989</c:v>
                </c:pt>
                <c:pt idx="53">
                  <c:v>0.99999999999999989</c:v>
                </c:pt>
                <c:pt idx="54">
                  <c:v>0.99999999999999989</c:v>
                </c:pt>
                <c:pt idx="55">
                  <c:v>0.99999999999999989</c:v>
                </c:pt>
                <c:pt idx="56">
                  <c:v>0.99999999999999989</c:v>
                </c:pt>
                <c:pt idx="57">
                  <c:v>0.99999999999999989</c:v>
                </c:pt>
                <c:pt idx="58">
                  <c:v>0.99999999999999989</c:v>
                </c:pt>
                <c:pt idx="59">
                  <c:v>0.99999999999999989</c:v>
                </c:pt>
                <c:pt idx="60">
                  <c:v>0.99999999999999989</c:v>
                </c:pt>
                <c:pt idx="61">
                  <c:v>0.99999999999999989</c:v>
                </c:pt>
                <c:pt idx="62">
                  <c:v>0.99999999999999989</c:v>
                </c:pt>
                <c:pt idx="63">
                  <c:v>0.99999999999999989</c:v>
                </c:pt>
                <c:pt idx="64">
                  <c:v>0.99999999999999989</c:v>
                </c:pt>
                <c:pt idx="65">
                  <c:v>0.99999999999999989</c:v>
                </c:pt>
                <c:pt idx="66">
                  <c:v>0.99999999999999989</c:v>
                </c:pt>
                <c:pt idx="67">
                  <c:v>0.99999999999999989</c:v>
                </c:pt>
                <c:pt idx="68">
                  <c:v>0.99999999999999989</c:v>
                </c:pt>
                <c:pt idx="69">
                  <c:v>0.99999999999999989</c:v>
                </c:pt>
                <c:pt idx="70">
                  <c:v>0.99999999999999989</c:v>
                </c:pt>
                <c:pt idx="71">
                  <c:v>0.99999999999999989</c:v>
                </c:pt>
                <c:pt idx="72">
                  <c:v>0.99999999999999989</c:v>
                </c:pt>
                <c:pt idx="73">
                  <c:v>0.99999999999999989</c:v>
                </c:pt>
                <c:pt idx="74">
                  <c:v>0.99999999999999989</c:v>
                </c:pt>
                <c:pt idx="75">
                  <c:v>0.99999999999999989</c:v>
                </c:pt>
                <c:pt idx="76">
                  <c:v>0.99999999999999989</c:v>
                </c:pt>
                <c:pt idx="77">
                  <c:v>0.99999999999999989</c:v>
                </c:pt>
                <c:pt idx="78">
                  <c:v>0.99999999999999989</c:v>
                </c:pt>
                <c:pt idx="79">
                  <c:v>0.99999999999999989</c:v>
                </c:pt>
                <c:pt idx="80">
                  <c:v>0.99999999999999989</c:v>
                </c:pt>
                <c:pt idx="81">
                  <c:v>0.99999999999999989</c:v>
                </c:pt>
                <c:pt idx="82">
                  <c:v>0.99999999999999989</c:v>
                </c:pt>
                <c:pt idx="83">
                  <c:v>0.99999999999999989</c:v>
                </c:pt>
                <c:pt idx="84">
                  <c:v>0.99999999999999989</c:v>
                </c:pt>
                <c:pt idx="85">
                  <c:v>0.99999999999999989</c:v>
                </c:pt>
                <c:pt idx="86">
                  <c:v>0.99999999999999989</c:v>
                </c:pt>
                <c:pt idx="87">
                  <c:v>0.99999999999999989</c:v>
                </c:pt>
                <c:pt idx="88">
                  <c:v>0.99999999999999989</c:v>
                </c:pt>
                <c:pt idx="89">
                  <c:v>0.99999999999999989</c:v>
                </c:pt>
                <c:pt idx="90">
                  <c:v>0.99999999999999989</c:v>
                </c:pt>
                <c:pt idx="91">
                  <c:v>0.99999999999999989</c:v>
                </c:pt>
                <c:pt idx="92">
                  <c:v>0.99999999999999989</c:v>
                </c:pt>
                <c:pt idx="93">
                  <c:v>0.99999999999999989</c:v>
                </c:pt>
                <c:pt idx="94">
                  <c:v>0.99999999999999989</c:v>
                </c:pt>
                <c:pt idx="95">
                  <c:v>0.99999999999999989</c:v>
                </c:pt>
                <c:pt idx="96">
                  <c:v>0.99999999999999989</c:v>
                </c:pt>
                <c:pt idx="97">
                  <c:v>0.99999999999999989</c:v>
                </c:pt>
                <c:pt idx="98">
                  <c:v>0.99999999999999989</c:v>
                </c:pt>
                <c:pt idx="99">
                  <c:v>0.99999999999999989</c:v>
                </c:pt>
                <c:pt idx="100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8-4EE5-8B7F-C67D080F1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ポアソン分布!$B$16:$B$116</c:f>
              <c:numCache>
                <c:formatCode>0.000000000%</c:formatCode>
                <c:ptCount val="101"/>
                <c:pt idx="0">
                  <c:v>8.75651076269652E-27</c:v>
                </c:pt>
                <c:pt idx="1">
                  <c:v>5.2539064576179108E-25</c:v>
                </c:pt>
                <c:pt idx="2">
                  <c:v>1.5761719372853651E-23</c:v>
                </c:pt>
                <c:pt idx="3">
                  <c:v>3.152343874570744E-22</c:v>
                </c:pt>
                <c:pt idx="4">
                  <c:v>4.728515811856133E-21</c:v>
                </c:pt>
                <c:pt idx="5">
                  <c:v>5.6742189742273632E-20</c:v>
                </c:pt>
                <c:pt idx="6">
                  <c:v>5.6742189742273411E-19</c:v>
                </c:pt>
                <c:pt idx="7">
                  <c:v>4.8636162636234339E-18</c:v>
                </c:pt>
                <c:pt idx="8">
                  <c:v>3.6477121977175906E-17</c:v>
                </c:pt>
                <c:pt idx="9">
                  <c:v>2.4318081318117187E-16</c:v>
                </c:pt>
                <c:pt idx="10">
                  <c:v>1.459084879087027E-15</c:v>
                </c:pt>
                <c:pt idx="11">
                  <c:v>7.9586447950201824E-15</c:v>
                </c:pt>
                <c:pt idx="12">
                  <c:v>3.9793223975100729E-14</c:v>
                </c:pt>
                <c:pt idx="13">
                  <c:v>1.8366103373123481E-13</c:v>
                </c:pt>
                <c:pt idx="14">
                  <c:v>7.8711871599100546E-13</c:v>
                </c:pt>
                <c:pt idx="15">
                  <c:v>3.1484748639640174E-12</c:v>
                </c:pt>
                <c:pt idx="16">
                  <c:v>1.1806780739865109E-11</c:v>
                </c:pt>
                <c:pt idx="17">
                  <c:v>4.1670990846582851E-11</c:v>
                </c:pt>
                <c:pt idx="18">
                  <c:v>1.3890330282194243E-10</c:v>
                </c:pt>
                <c:pt idx="19">
                  <c:v>4.386420089113977E-10</c:v>
                </c:pt>
                <c:pt idx="20">
                  <c:v>1.315926026734193E-9</c:v>
                </c:pt>
                <c:pt idx="21">
                  <c:v>3.7597886478119847E-9</c:v>
                </c:pt>
                <c:pt idx="22">
                  <c:v>1.0253969039487166E-8</c:v>
                </c:pt>
                <c:pt idx="23">
                  <c:v>2.6749484450836144E-8</c:v>
                </c:pt>
                <c:pt idx="24">
                  <c:v>6.6873711127090178E-8</c:v>
                </c:pt>
                <c:pt idx="25">
                  <c:v>1.604969067050164E-7</c:v>
                </c:pt>
                <c:pt idx="26">
                  <c:v>3.7037747701157785E-7</c:v>
                </c:pt>
                <c:pt idx="27">
                  <c:v>8.2306106002572851E-7</c:v>
                </c:pt>
                <c:pt idx="28">
                  <c:v>1.7637022714836967E-6</c:v>
                </c:pt>
                <c:pt idx="29">
                  <c:v>3.649039182380066E-6</c:v>
                </c:pt>
                <c:pt idx="30">
                  <c:v>7.2980783647601396E-6</c:v>
                </c:pt>
                <c:pt idx="31">
                  <c:v>1.4125312964051856E-5</c:v>
                </c:pt>
                <c:pt idx="32">
                  <c:v>2.6484961807597371E-5</c:v>
                </c:pt>
                <c:pt idx="33">
                  <c:v>4.81544760138133E-5</c:v>
                </c:pt>
                <c:pt idx="34">
                  <c:v>8.497848708319989E-5</c:v>
                </c:pt>
                <c:pt idx="35">
                  <c:v>1.4567740642834194E-4</c:v>
                </c:pt>
                <c:pt idx="36">
                  <c:v>2.4279567738057136E-4</c:v>
                </c:pt>
                <c:pt idx="37">
                  <c:v>3.9372272007660137E-4</c:v>
                </c:pt>
                <c:pt idx="38">
                  <c:v>6.2166745275253122E-4</c:v>
                </c:pt>
                <c:pt idx="39">
                  <c:v>9.5641146577312016E-4</c:v>
                </c:pt>
                <c:pt idx="40">
                  <c:v>1.4346171986596859E-3</c:v>
                </c:pt>
                <c:pt idx="41">
                  <c:v>2.0994398029166124E-3</c:v>
                </c:pt>
                <c:pt idx="42">
                  <c:v>2.9991997184523004E-3</c:v>
                </c:pt>
                <c:pt idx="43">
                  <c:v>4.1849298397008804E-3</c:v>
                </c:pt>
                <c:pt idx="44">
                  <c:v>5.7067225086830211E-3</c:v>
                </c:pt>
                <c:pt idx="45">
                  <c:v>7.6089633449106953E-3</c:v>
                </c:pt>
                <c:pt idx="46">
                  <c:v>9.924734797709606E-3</c:v>
                </c:pt>
                <c:pt idx="47">
                  <c:v>1.2669874209842056E-2</c:v>
                </c:pt>
                <c:pt idx="48">
                  <c:v>1.5837342762302566E-2</c:v>
                </c:pt>
                <c:pt idx="49">
                  <c:v>1.9392664606901127E-2</c:v>
                </c:pt>
                <c:pt idx="50">
                  <c:v>2.3271197528281277E-2</c:v>
                </c:pt>
                <c:pt idx="51">
                  <c:v>2.7377879445036855E-2</c:v>
                </c:pt>
                <c:pt idx="52">
                  <c:v>3.1589860898119444E-2</c:v>
                </c:pt>
                <c:pt idx="53">
                  <c:v>3.5762106677116358E-2</c:v>
                </c:pt>
                <c:pt idx="54">
                  <c:v>3.9735674085684798E-2</c:v>
                </c:pt>
                <c:pt idx="55">
                  <c:v>4.3348008093474374E-2</c:v>
                </c:pt>
                <c:pt idx="56">
                  <c:v>4.6444294385865385E-2</c:v>
                </c:pt>
                <c:pt idx="57">
                  <c:v>4.8888730932489861E-2</c:v>
                </c:pt>
                <c:pt idx="58">
                  <c:v>5.0574549240506743E-2</c:v>
                </c:pt>
                <c:pt idx="59">
                  <c:v>5.1431744990345848E-2</c:v>
                </c:pt>
                <c:pt idx="60">
                  <c:v>5.1431744990345862E-2</c:v>
                </c:pt>
                <c:pt idx="61">
                  <c:v>5.0588601629848386E-2</c:v>
                </c:pt>
                <c:pt idx="62">
                  <c:v>4.8956711254691976E-2</c:v>
                </c:pt>
                <c:pt idx="63">
                  <c:v>4.6625439290182834E-2</c:v>
                </c:pt>
                <c:pt idx="64">
                  <c:v>4.3711349334546436E-2</c:v>
                </c:pt>
                <c:pt idx="65">
                  <c:v>4.0348937847273621E-2</c:v>
                </c:pt>
                <c:pt idx="66">
                  <c:v>3.6680852588430575E-2</c:v>
                </c:pt>
                <c:pt idx="67">
                  <c:v>3.2848524706057224E-2</c:v>
                </c:pt>
                <c:pt idx="68">
                  <c:v>2.8983992387697527E-2</c:v>
                </c:pt>
                <c:pt idx="69">
                  <c:v>2.5203471641476152E-2</c:v>
                </c:pt>
                <c:pt idx="70">
                  <c:v>2.1602975692693836E-2</c:v>
                </c:pt>
                <c:pt idx="71">
                  <c:v>1.8256035796642658E-2</c:v>
                </c:pt>
                <c:pt idx="72">
                  <c:v>1.5213363163868902E-2</c:v>
                </c:pt>
                <c:pt idx="73">
                  <c:v>1.2504134107289504E-2</c:v>
                </c:pt>
                <c:pt idx="74">
                  <c:v>1.0138487114018515E-2</c:v>
                </c:pt>
                <c:pt idx="75">
                  <c:v>8.110789691214813E-3</c:v>
                </c:pt>
                <c:pt idx="76">
                  <c:v>6.403255019380107E-3</c:v>
                </c:pt>
                <c:pt idx="77">
                  <c:v>4.9895493657507433E-3</c:v>
                </c:pt>
                <c:pt idx="78">
                  <c:v>3.8381148967313295E-3</c:v>
                </c:pt>
                <c:pt idx="79">
                  <c:v>2.9150239722010203E-3</c:v>
                </c:pt>
                <c:pt idx="80">
                  <c:v>2.1862679791507631E-3</c:v>
                </c:pt>
                <c:pt idx="81">
                  <c:v>1.6194577623338978E-3</c:v>
                </c:pt>
                <c:pt idx="82">
                  <c:v>1.1849690943906577E-3</c:v>
                </c:pt>
                <c:pt idx="83">
                  <c:v>8.5660416461975236E-4</c:v>
                </c:pt>
                <c:pt idx="84">
                  <c:v>6.1186011758553808E-4</c:v>
                </c:pt>
                <c:pt idx="85">
                  <c:v>4.3190125947214364E-4</c:v>
                </c:pt>
                <c:pt idx="86">
                  <c:v>3.0132646009684488E-4</c:v>
                </c:pt>
                <c:pt idx="87">
                  <c:v>2.0781135179092752E-4</c:v>
                </c:pt>
                <c:pt idx="88">
                  <c:v>1.4168955803926846E-4</c:v>
                </c:pt>
                <c:pt idx="89">
                  <c:v>9.5521050363551717E-5</c:v>
                </c:pt>
                <c:pt idx="90">
                  <c:v>6.3680700242368078E-5</c:v>
                </c:pt>
                <c:pt idx="91">
                  <c:v>4.1987274885077858E-5</c:v>
                </c:pt>
                <c:pt idx="92">
                  <c:v>2.7383005359833276E-5</c:v>
                </c:pt>
                <c:pt idx="93">
                  <c:v>1.7666455070860094E-5</c:v>
                </c:pt>
                <c:pt idx="94">
                  <c:v>1.1276460683527758E-5</c:v>
                </c:pt>
                <c:pt idx="95">
                  <c:v>7.1219751685438776E-6</c:v>
                </c:pt>
                <c:pt idx="96">
                  <c:v>4.4512344803398851E-6</c:v>
                </c:pt>
                <c:pt idx="97">
                  <c:v>2.7533409156741534E-6</c:v>
                </c:pt>
                <c:pt idx="98">
                  <c:v>1.6857189279637756E-6</c:v>
                </c:pt>
                <c:pt idx="99">
                  <c:v>1.0216478351295726E-6</c:v>
                </c:pt>
                <c:pt idx="100">
                  <c:v>6.1298870107773643E-7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6-450B-9996-9D5BD00E2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ポアソン分布!$C$16:$C$116</c:f>
              <c:numCache>
                <c:formatCode>0.000000000%</c:formatCode>
                <c:ptCount val="101"/>
                <c:pt idx="0">
                  <c:v>8.75651076269652E-27</c:v>
                </c:pt>
                <c:pt idx="1">
                  <c:v>5.3414715652448756E-25</c:v>
                </c:pt>
                <c:pt idx="2">
                  <c:v>1.6295866529378139E-23</c:v>
                </c:pt>
                <c:pt idx="3">
                  <c:v>3.3153025398645255E-22</c:v>
                </c:pt>
                <c:pt idx="4">
                  <c:v>5.0600460658425852E-21</c:v>
                </c:pt>
                <c:pt idx="5">
                  <c:v>6.1802235808116223E-20</c:v>
                </c:pt>
                <c:pt idx="6">
                  <c:v>6.2922413323085033E-19</c:v>
                </c:pt>
                <c:pt idx="7">
                  <c:v>5.4928403968542843E-18</c:v>
                </c:pt>
                <c:pt idx="8">
                  <c:v>4.1969962374030193E-17</c:v>
                </c:pt>
                <c:pt idx="9">
                  <c:v>2.8515077555520205E-16</c:v>
                </c:pt>
                <c:pt idx="10">
                  <c:v>1.744235654642229E-15</c:v>
                </c:pt>
                <c:pt idx="11">
                  <c:v>9.7028804496624112E-15</c:v>
                </c:pt>
                <c:pt idx="12">
                  <c:v>4.9496104424763137E-14</c:v>
                </c:pt>
                <c:pt idx="13">
                  <c:v>2.3315713815599795E-13</c:v>
                </c:pt>
                <c:pt idx="14">
                  <c:v>1.0202758541470034E-12</c:v>
                </c:pt>
                <c:pt idx="15">
                  <c:v>4.1687507181110205E-12</c:v>
                </c:pt>
                <c:pt idx="16">
                  <c:v>1.5975531457976131E-11</c:v>
                </c:pt>
                <c:pt idx="17">
                  <c:v>5.7646522304558982E-11</c:v>
                </c:pt>
                <c:pt idx="18">
                  <c:v>1.9654982512650141E-10</c:v>
                </c:pt>
                <c:pt idx="19">
                  <c:v>6.3519183403789916E-10</c:v>
                </c:pt>
                <c:pt idx="20">
                  <c:v>1.9511178607720922E-9</c:v>
                </c:pt>
                <c:pt idx="21">
                  <c:v>5.7109065085840774E-9</c:v>
                </c:pt>
                <c:pt idx="22">
                  <c:v>1.5964875548071243E-8</c:v>
                </c:pt>
                <c:pt idx="23">
                  <c:v>4.2714359998907384E-8</c:v>
                </c:pt>
                <c:pt idx="24">
                  <c:v>1.0958807112599756E-7</c:v>
                </c:pt>
                <c:pt idx="25">
                  <c:v>2.7008497783101396E-7</c:v>
                </c:pt>
                <c:pt idx="26">
                  <c:v>6.4046245484259176E-7</c:v>
                </c:pt>
                <c:pt idx="27">
                  <c:v>1.4635235148683202E-6</c:v>
                </c:pt>
                <c:pt idx="28">
                  <c:v>3.2272257863520171E-6</c:v>
                </c:pt>
                <c:pt idx="29">
                  <c:v>6.8762649687320835E-6</c:v>
                </c:pt>
                <c:pt idx="30">
                  <c:v>1.4174343333492223E-5</c:v>
                </c:pt>
                <c:pt idx="31">
                  <c:v>2.8299656297544079E-5</c:v>
                </c:pt>
                <c:pt idx="32">
                  <c:v>5.4784618105141447E-5</c:v>
                </c:pt>
                <c:pt idx="33">
                  <c:v>1.0293909411895475E-4</c:v>
                </c:pt>
                <c:pt idx="34">
                  <c:v>1.8791758120215464E-4</c:v>
                </c:pt>
                <c:pt idx="35">
                  <c:v>3.3359498763049658E-4</c:v>
                </c:pt>
                <c:pt idx="36">
                  <c:v>5.7639066501106789E-4</c:v>
                </c:pt>
                <c:pt idx="37">
                  <c:v>9.7011338508766931E-4</c:v>
                </c:pt>
                <c:pt idx="38">
                  <c:v>1.5917808378402005E-3</c:v>
                </c:pt>
                <c:pt idx="39">
                  <c:v>2.5481923036133206E-3</c:v>
                </c:pt>
                <c:pt idx="40">
                  <c:v>3.9828095022730065E-3</c:v>
                </c:pt>
                <c:pt idx="41">
                  <c:v>6.0822493051896189E-3</c:v>
                </c:pt>
                <c:pt idx="42">
                  <c:v>9.0814490236419201E-3</c:v>
                </c:pt>
                <c:pt idx="43">
                  <c:v>1.3266378863342801E-2</c:v>
                </c:pt>
                <c:pt idx="44">
                  <c:v>1.8973101372025823E-2</c:v>
                </c:pt>
                <c:pt idx="45">
                  <c:v>2.658206471693652E-2</c:v>
                </c:pt>
                <c:pt idx="46">
                  <c:v>3.6506799514646124E-2</c:v>
                </c:pt>
                <c:pt idx="47">
                  <c:v>4.9176673724488182E-2</c:v>
                </c:pt>
                <c:pt idx="48">
                  <c:v>6.5014016486790754E-2</c:v>
                </c:pt>
                <c:pt idx="49">
                  <c:v>8.4406681093691885E-2</c:v>
                </c:pt>
                <c:pt idx="50">
                  <c:v>0.10767787862197316</c:v>
                </c:pt>
                <c:pt idx="51">
                  <c:v>0.13505575806701001</c:v>
                </c:pt>
                <c:pt idx="52">
                  <c:v>0.16664561896512944</c:v>
                </c:pt>
                <c:pt idx="53">
                  <c:v>0.20240772564224579</c:v>
                </c:pt>
                <c:pt idx="54">
                  <c:v>0.24214339972793059</c:v>
                </c:pt>
                <c:pt idx="55">
                  <c:v>0.28549140782140497</c:v>
                </c:pt>
                <c:pt idx="56">
                  <c:v>0.33193570220727037</c:v>
                </c:pt>
                <c:pt idx="57">
                  <c:v>0.38082443313976022</c:v>
                </c:pt>
                <c:pt idx="58">
                  <c:v>0.43139898238026697</c:v>
                </c:pt>
                <c:pt idx="59">
                  <c:v>0.48283072737061283</c:v>
                </c:pt>
                <c:pt idx="60">
                  <c:v>0.5342624723609587</c:v>
                </c:pt>
                <c:pt idx="61">
                  <c:v>0.58485107399080705</c:v>
                </c:pt>
                <c:pt idx="62">
                  <c:v>0.63380778524549908</c:v>
                </c:pt>
                <c:pt idx="63">
                  <c:v>0.68043322453568189</c:v>
                </c:pt>
                <c:pt idx="64">
                  <c:v>0.72414457387022835</c:v>
                </c:pt>
                <c:pt idx="65">
                  <c:v>0.76449351171750202</c:v>
                </c:pt>
                <c:pt idx="66">
                  <c:v>0.80117436430593258</c:v>
                </c:pt>
                <c:pt idx="67">
                  <c:v>0.83402288901198984</c:v>
                </c:pt>
                <c:pt idx="68">
                  <c:v>0.8630068813996874</c:v>
                </c:pt>
                <c:pt idx="69">
                  <c:v>0.88821035304116358</c:v>
                </c:pt>
                <c:pt idx="70">
                  <c:v>0.90981332873385745</c:v>
                </c:pt>
                <c:pt idx="71">
                  <c:v>0.92806936453050015</c:v>
                </c:pt>
                <c:pt idx="72">
                  <c:v>0.94328272769436905</c:v>
                </c:pt>
                <c:pt idx="73">
                  <c:v>0.9557868618016585</c:v>
                </c:pt>
                <c:pt idx="74">
                  <c:v>0.96592534891567705</c:v>
                </c:pt>
                <c:pt idx="75">
                  <c:v>0.97403613860689187</c:v>
                </c:pt>
                <c:pt idx="76">
                  <c:v>0.98043939362627197</c:v>
                </c:pt>
                <c:pt idx="77">
                  <c:v>0.98542894299202266</c:v>
                </c:pt>
                <c:pt idx="78">
                  <c:v>0.98926705788875402</c:v>
                </c:pt>
                <c:pt idx="79">
                  <c:v>0.99218208186095502</c:v>
                </c:pt>
                <c:pt idx="80">
                  <c:v>0.9943683498401058</c:v>
                </c:pt>
                <c:pt idx="81">
                  <c:v>0.99598780760243966</c:v>
                </c:pt>
                <c:pt idx="82">
                  <c:v>0.99717277669683035</c:v>
                </c:pt>
                <c:pt idx="83">
                  <c:v>0.9980293808614501</c:v>
                </c:pt>
                <c:pt idx="84">
                  <c:v>0.99864124097903562</c:v>
                </c:pt>
                <c:pt idx="85">
                  <c:v>0.99907314223850774</c:v>
                </c:pt>
                <c:pt idx="86">
                  <c:v>0.99937446869860458</c:v>
                </c:pt>
                <c:pt idx="87">
                  <c:v>0.99958228005039551</c:v>
                </c:pt>
                <c:pt idx="88">
                  <c:v>0.99972396960843479</c:v>
                </c:pt>
                <c:pt idx="89">
                  <c:v>0.99981949065879838</c:v>
                </c:pt>
                <c:pt idx="90">
                  <c:v>0.9998831713590407</c:v>
                </c:pt>
                <c:pt idx="91">
                  <c:v>0.99992515863392573</c:v>
                </c:pt>
                <c:pt idx="92">
                  <c:v>0.9999525416392856</c:v>
                </c:pt>
                <c:pt idx="93">
                  <c:v>0.99997020809435644</c:v>
                </c:pt>
                <c:pt idx="94">
                  <c:v>0.99998148455503999</c:v>
                </c:pt>
                <c:pt idx="95">
                  <c:v>0.99998860653020849</c:v>
                </c:pt>
                <c:pt idx="96">
                  <c:v>0.99999305776468883</c:v>
                </c:pt>
                <c:pt idx="97">
                  <c:v>0.99999581110560454</c:v>
                </c:pt>
                <c:pt idx="98">
                  <c:v>0.99999749682453254</c:v>
                </c:pt>
                <c:pt idx="99">
                  <c:v>0.99999851847236765</c:v>
                </c:pt>
                <c:pt idx="100">
                  <c:v>0.99999913146106878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4-4A04-9417-94EC3355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幾何分布!$B$16:$B$116</c:f>
              <c:numCache>
                <c:formatCode>0.000000000%</c:formatCode>
                <c:ptCount val="101"/>
                <c:pt idx="0">
                  <c:v>0</c:v>
                </c:pt>
                <c:pt idx="1">
                  <c:v>0.10000000149011612</c:v>
                </c:pt>
                <c:pt idx="2">
                  <c:v>9.0000003576278687E-2</c:v>
                </c:pt>
                <c:pt idx="3">
                  <c:v>8.1000000238418579E-2</c:v>
                </c:pt>
                <c:pt idx="4">
                  <c:v>7.2899997234344482E-2</c:v>
                </c:pt>
                <c:pt idx="5">
                  <c:v>6.5609999001026154E-2</c:v>
                </c:pt>
                <c:pt idx="6">
                  <c:v>5.9048999100923538E-2</c:v>
                </c:pt>
                <c:pt idx="7">
                  <c:v>5.3144101053476334E-2</c:v>
                </c:pt>
                <c:pt idx="8">
                  <c:v>4.782969132065773E-2</c:v>
                </c:pt>
                <c:pt idx="9">
                  <c:v>4.3046720325946808E-2</c:v>
                </c:pt>
                <c:pt idx="10">
                  <c:v>3.8742050528526306E-2</c:v>
                </c:pt>
                <c:pt idx="11">
                  <c:v>3.4867845475673676E-2</c:v>
                </c:pt>
                <c:pt idx="12">
                  <c:v>3.1381059437990189E-2</c:v>
                </c:pt>
                <c:pt idx="13">
                  <c:v>2.824295312166214E-2</c:v>
                </c:pt>
                <c:pt idx="14">
                  <c:v>2.5418657809495926E-2</c:v>
                </c:pt>
                <c:pt idx="15">
                  <c:v>2.2876791656017303E-2</c:v>
                </c:pt>
                <c:pt idx="16">
                  <c:v>2.0589113235473633E-2</c:v>
                </c:pt>
                <c:pt idx="17">
                  <c:v>1.853020116686821E-2</c:v>
                </c:pt>
                <c:pt idx="18">
                  <c:v>1.6677182167768478E-2</c:v>
                </c:pt>
                <c:pt idx="19">
                  <c:v>1.5009463764727116E-2</c:v>
                </c:pt>
                <c:pt idx="20">
                  <c:v>1.3508517295122147E-2</c:v>
                </c:pt>
                <c:pt idx="21">
                  <c:v>1.2157665565609932E-2</c:v>
                </c:pt>
                <c:pt idx="22">
                  <c:v>1.0941898450255394E-2</c:v>
                </c:pt>
                <c:pt idx="23">
                  <c:v>9.8477089777588844E-3</c:v>
                </c:pt>
                <c:pt idx="24">
                  <c:v>8.8629378005862236E-3</c:v>
                </c:pt>
                <c:pt idx="25">
                  <c:v>7.9766437411308289E-3</c:v>
                </c:pt>
                <c:pt idx="26">
                  <c:v>7.1789794601500034E-3</c:v>
                </c:pt>
                <c:pt idx="27">
                  <c:v>6.4610815607011318E-3</c:v>
                </c:pt>
                <c:pt idx="28">
                  <c:v>5.8149737305939198E-3</c:v>
                </c:pt>
                <c:pt idx="29">
                  <c:v>5.2334759384393692E-3</c:v>
                </c:pt>
                <c:pt idx="30">
                  <c:v>4.7101285308599472E-3</c:v>
                </c:pt>
                <c:pt idx="31">
                  <c:v>4.2391158640384674E-3</c:v>
                </c:pt>
                <c:pt idx="32">
                  <c:v>3.8152041379362345E-3</c:v>
                </c:pt>
                <c:pt idx="33">
                  <c:v>3.4336836542934179E-3</c:v>
                </c:pt>
                <c:pt idx="34">
                  <c:v>3.0903152655810118E-3</c:v>
                </c:pt>
                <c:pt idx="35">
                  <c:v>2.7812838088721037E-3</c:v>
                </c:pt>
                <c:pt idx="36">
                  <c:v>2.5031554978340864E-3</c:v>
                </c:pt>
                <c:pt idx="37">
                  <c:v>2.2528397385030985E-3</c:v>
                </c:pt>
                <c:pt idx="38">
                  <c:v>2.0275558345019817E-3</c:v>
                </c:pt>
                <c:pt idx="39">
                  <c:v>1.8248002743348479E-3</c:v>
                </c:pt>
                <c:pt idx="40">
                  <c:v>1.6423201886937022E-3</c:v>
                </c:pt>
                <c:pt idx="41">
                  <c:v>1.4780882047489285E-3</c:v>
                </c:pt>
                <c:pt idx="42">
                  <c:v>1.3302793959155679E-3</c:v>
                </c:pt>
                <c:pt idx="43">
                  <c:v>1.1972514912486076E-3</c:v>
                </c:pt>
                <c:pt idx="44">
                  <c:v>1.0775262489914894E-3</c:v>
                </c:pt>
                <c:pt idx="45">
                  <c:v>9.6977368230000138E-4</c:v>
                </c:pt>
                <c:pt idx="46">
                  <c:v>8.7279628496617079E-4</c:v>
                </c:pt>
                <c:pt idx="47">
                  <c:v>7.8551669139415026E-4</c:v>
                </c:pt>
                <c:pt idx="48">
                  <c:v>7.0696498733013868E-4</c:v>
                </c:pt>
                <c:pt idx="49">
                  <c:v>6.3626852352172136E-4</c:v>
                </c:pt>
                <c:pt idx="50">
                  <c:v>5.7264167116954923E-4</c:v>
                </c:pt>
                <c:pt idx="51">
                  <c:v>5.1537749823182821E-4</c:v>
                </c:pt>
                <c:pt idx="52">
                  <c:v>4.6383973676711321E-4</c:v>
                </c:pt>
                <c:pt idx="53">
                  <c:v>4.1745576891116798E-4</c:v>
                </c:pt>
                <c:pt idx="54">
                  <c:v>3.7571019493043423E-4</c:v>
                </c:pt>
                <c:pt idx="55">
                  <c:v>3.3813915797509253E-4</c:v>
                </c:pt>
                <c:pt idx="56">
                  <c:v>3.0432525090873241E-4</c:v>
                </c:pt>
                <c:pt idx="57">
                  <c:v>2.7389271417632699E-4</c:v>
                </c:pt>
                <c:pt idx="58">
                  <c:v>2.4650344857946038E-4</c:v>
                </c:pt>
                <c:pt idx="59">
                  <c:v>2.218531008111313E-4</c:v>
                </c:pt>
                <c:pt idx="60">
                  <c:v>1.9966778927482665E-4</c:v>
                </c:pt>
                <c:pt idx="61">
                  <c:v>1.7970101907849312E-4</c:v>
                </c:pt>
                <c:pt idx="62">
                  <c:v>1.6173091717064381E-4</c:v>
                </c:pt>
                <c:pt idx="63">
                  <c:v>1.4555781672243029E-4</c:v>
                </c:pt>
                <c:pt idx="64">
                  <c:v>1.3100204523652792E-4</c:v>
                </c:pt>
                <c:pt idx="65">
                  <c:v>1.1790183634730056E-4</c:v>
                </c:pt>
                <c:pt idx="66">
                  <c:v>1.061116490745917E-4</c:v>
                </c:pt>
                <c:pt idx="67">
                  <c:v>9.5500487077515572E-5</c:v>
                </c:pt>
                <c:pt idx="68">
                  <c:v>8.5950436186976731E-5</c:v>
                </c:pt>
                <c:pt idx="69">
                  <c:v>7.7355391113087535E-5</c:v>
                </c:pt>
                <c:pt idx="70">
                  <c:v>6.9619854912161827E-5</c:v>
                </c:pt>
                <c:pt idx="71">
                  <c:v>6.2657869420945644E-5</c:v>
                </c:pt>
                <c:pt idx="72">
                  <c:v>5.6392080296063796E-5</c:v>
                </c:pt>
                <c:pt idx="73">
                  <c:v>5.0752874813042581E-5</c:v>
                </c:pt>
                <c:pt idx="74">
                  <c:v>4.5677585148951039E-5</c:v>
                </c:pt>
                <c:pt idx="75">
                  <c:v>4.1109826270258054E-5</c:v>
                </c:pt>
                <c:pt idx="76">
                  <c:v>3.6998844734625891E-5</c:v>
                </c:pt>
                <c:pt idx="77">
                  <c:v>3.3298958442173898E-5</c:v>
                </c:pt>
                <c:pt idx="78">
                  <c:v>2.9969063689350151E-5</c:v>
                </c:pt>
                <c:pt idx="79">
                  <c:v>2.6972156774718314E-5</c:v>
                </c:pt>
                <c:pt idx="80">
                  <c:v>2.4274941097246483E-5</c:v>
                </c:pt>
                <c:pt idx="81">
                  <c:v>2.1847446987521835E-5</c:v>
                </c:pt>
                <c:pt idx="82">
                  <c:v>1.9662702470668592E-5</c:v>
                </c:pt>
                <c:pt idx="83">
                  <c:v>1.7696433133096434E-5</c:v>
                </c:pt>
                <c:pt idx="84">
                  <c:v>1.592678927408997E-5</c:v>
                </c:pt>
                <c:pt idx="85">
                  <c:v>1.4334110346680973E-5</c:v>
                </c:pt>
                <c:pt idx="86">
                  <c:v>1.2900699402962346E-5</c:v>
                </c:pt>
                <c:pt idx="87">
                  <c:v>1.1610629371716641E-5</c:v>
                </c:pt>
                <c:pt idx="88">
                  <c:v>1.0449566616443917E-5</c:v>
                </c:pt>
                <c:pt idx="89">
                  <c:v>9.4046099547995254E-6</c:v>
                </c:pt>
                <c:pt idx="90">
                  <c:v>8.4641487774206325E-6</c:v>
                </c:pt>
                <c:pt idx="91">
                  <c:v>7.6177338996785693E-6</c:v>
                </c:pt>
                <c:pt idx="92">
                  <c:v>6.8559602368623018E-6</c:v>
                </c:pt>
                <c:pt idx="93">
                  <c:v>6.1703644860244822E-6</c:v>
                </c:pt>
                <c:pt idx="94">
                  <c:v>5.5533278100483585E-6</c:v>
                </c:pt>
                <c:pt idx="95">
                  <c:v>4.9979948926193174E-6</c:v>
                </c:pt>
                <c:pt idx="96">
                  <c:v>4.4981957216805313E-6</c:v>
                </c:pt>
                <c:pt idx="97">
                  <c:v>4.0483760130882729E-6</c:v>
                </c:pt>
                <c:pt idx="98">
                  <c:v>3.6435383208299754E-6</c:v>
                </c:pt>
                <c:pt idx="99">
                  <c:v>3.2791845114843454E-6</c:v>
                </c:pt>
                <c:pt idx="100">
                  <c:v>2.9512661967601161E-6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5-4DD6-A724-3F20782E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幾何分布!$C$16:$C$116</c:f>
              <c:numCache>
                <c:formatCode>0.000000000%</c:formatCode>
                <c:ptCount val="101"/>
                <c:pt idx="0">
                  <c:v>0</c:v>
                </c:pt>
                <c:pt idx="1">
                  <c:v>0.10000000149011612</c:v>
                </c:pt>
                <c:pt idx="2">
                  <c:v>0.19000000506639481</c:v>
                </c:pt>
                <c:pt idx="3">
                  <c:v>0.27100000530481339</c:v>
                </c:pt>
                <c:pt idx="4">
                  <c:v>0.34390000253915787</c:v>
                </c:pt>
                <c:pt idx="5">
                  <c:v>0.40951000154018402</c:v>
                </c:pt>
                <c:pt idx="6">
                  <c:v>0.46855900064110756</c:v>
                </c:pt>
                <c:pt idx="7">
                  <c:v>0.52170310169458389</c:v>
                </c:pt>
                <c:pt idx="8">
                  <c:v>0.56953279301524162</c:v>
                </c:pt>
                <c:pt idx="9">
                  <c:v>0.61257951334118843</c:v>
                </c:pt>
                <c:pt idx="10">
                  <c:v>0.65132156386971474</c:v>
                </c:pt>
                <c:pt idx="11">
                  <c:v>0.68618940934538841</c:v>
                </c:pt>
                <c:pt idx="12">
                  <c:v>0.7175704687833786</c:v>
                </c:pt>
                <c:pt idx="13">
                  <c:v>0.74581342190504074</c:v>
                </c:pt>
                <c:pt idx="14">
                  <c:v>0.77123207971453667</c:v>
                </c:pt>
                <c:pt idx="15">
                  <c:v>0.79410887137055397</c:v>
                </c:pt>
                <c:pt idx="16">
                  <c:v>0.8146979846060276</c:v>
                </c:pt>
                <c:pt idx="17">
                  <c:v>0.83322818577289581</c:v>
                </c:pt>
                <c:pt idx="18">
                  <c:v>0.84990536794066429</c:v>
                </c:pt>
                <c:pt idx="19">
                  <c:v>0.86491483170539141</c:v>
                </c:pt>
                <c:pt idx="20">
                  <c:v>0.87842334900051355</c:v>
                </c:pt>
                <c:pt idx="21">
                  <c:v>0.89058101456612349</c:v>
                </c:pt>
                <c:pt idx="22">
                  <c:v>0.90152291301637888</c:v>
                </c:pt>
                <c:pt idx="23">
                  <c:v>0.91137062199413776</c:v>
                </c:pt>
                <c:pt idx="24">
                  <c:v>0.92023355979472399</c:v>
                </c:pt>
                <c:pt idx="25">
                  <c:v>0.92821020353585482</c:v>
                </c:pt>
                <c:pt idx="26">
                  <c:v>0.93538918299600482</c:v>
                </c:pt>
                <c:pt idx="27">
                  <c:v>0.94185026455670595</c:v>
                </c:pt>
                <c:pt idx="28">
                  <c:v>0.94766523828729987</c:v>
                </c:pt>
                <c:pt idx="29">
                  <c:v>0.95289871422573924</c:v>
                </c:pt>
                <c:pt idx="30">
                  <c:v>0.95760884275659919</c:v>
                </c:pt>
                <c:pt idx="31">
                  <c:v>0.96184795862063766</c:v>
                </c:pt>
                <c:pt idx="32">
                  <c:v>0.96566316275857389</c:v>
                </c:pt>
                <c:pt idx="33">
                  <c:v>0.96909684641286731</c:v>
                </c:pt>
                <c:pt idx="34">
                  <c:v>0.97218716167844832</c:v>
                </c:pt>
                <c:pt idx="35">
                  <c:v>0.97496844548732042</c:v>
                </c:pt>
                <c:pt idx="36">
                  <c:v>0.97747160098515451</c:v>
                </c:pt>
                <c:pt idx="37">
                  <c:v>0.97972444072365761</c:v>
                </c:pt>
                <c:pt idx="38">
                  <c:v>0.98175199655815959</c:v>
                </c:pt>
                <c:pt idx="39">
                  <c:v>0.98357679683249444</c:v>
                </c:pt>
                <c:pt idx="40">
                  <c:v>0.98521911702118814</c:v>
                </c:pt>
                <c:pt idx="41">
                  <c:v>0.98669720522593707</c:v>
                </c:pt>
                <c:pt idx="42">
                  <c:v>0.98802748462185264</c:v>
                </c:pt>
                <c:pt idx="43">
                  <c:v>0.98922473611310124</c:v>
                </c:pt>
                <c:pt idx="44">
                  <c:v>0.99030226236209273</c:v>
                </c:pt>
                <c:pt idx="45">
                  <c:v>0.99127203604439273</c:v>
                </c:pt>
                <c:pt idx="46">
                  <c:v>0.99214483232935891</c:v>
                </c:pt>
                <c:pt idx="47">
                  <c:v>0.99293034902075306</c:v>
                </c:pt>
                <c:pt idx="48">
                  <c:v>0.99363731400808319</c:v>
                </c:pt>
                <c:pt idx="49">
                  <c:v>0.99427358253160492</c:v>
                </c:pt>
                <c:pt idx="50">
                  <c:v>0.99484622420277447</c:v>
                </c:pt>
                <c:pt idx="51">
                  <c:v>0.99536160170100629</c:v>
                </c:pt>
                <c:pt idx="52">
                  <c:v>0.99582544143777341</c:v>
                </c:pt>
                <c:pt idx="53">
                  <c:v>0.99624289720668457</c:v>
                </c:pt>
                <c:pt idx="54">
                  <c:v>0.99661860740161501</c:v>
                </c:pt>
                <c:pt idx="55">
                  <c:v>0.9969567465595901</c:v>
                </c:pt>
                <c:pt idx="56">
                  <c:v>0.99726107181049883</c:v>
                </c:pt>
                <c:pt idx="57">
                  <c:v>0.99753496452467516</c:v>
                </c:pt>
                <c:pt idx="58">
                  <c:v>0.99778146797325462</c:v>
                </c:pt>
                <c:pt idx="59">
                  <c:v>0.99800332107406575</c:v>
                </c:pt>
                <c:pt idx="60">
                  <c:v>0.99820298886334058</c:v>
                </c:pt>
                <c:pt idx="61">
                  <c:v>0.99838268988241907</c:v>
                </c:pt>
                <c:pt idx="62">
                  <c:v>0.99854442079958972</c:v>
                </c:pt>
                <c:pt idx="63">
                  <c:v>0.99868997861631215</c:v>
                </c:pt>
                <c:pt idx="64">
                  <c:v>0.99882098066154867</c:v>
                </c:pt>
                <c:pt idx="65">
                  <c:v>0.99893888249789597</c:v>
                </c:pt>
                <c:pt idx="66">
                  <c:v>0.99904499414697057</c:v>
                </c:pt>
                <c:pt idx="67">
                  <c:v>0.99914049463404808</c:v>
                </c:pt>
                <c:pt idx="68">
                  <c:v>0.99922644507023506</c:v>
                </c:pt>
                <c:pt idx="69">
                  <c:v>0.99930380046134815</c:v>
                </c:pt>
                <c:pt idx="70">
                  <c:v>0.99937342031626031</c:v>
                </c:pt>
                <c:pt idx="71">
                  <c:v>0.99943607818568125</c:v>
                </c:pt>
                <c:pt idx="72">
                  <c:v>0.99949247026597732</c:v>
                </c:pt>
                <c:pt idx="73">
                  <c:v>0.99954322314079036</c:v>
                </c:pt>
                <c:pt idx="74">
                  <c:v>0.99958890072593931</c:v>
                </c:pt>
                <c:pt idx="75">
                  <c:v>0.99963001055220957</c:v>
                </c:pt>
                <c:pt idx="76">
                  <c:v>0.9996670093969442</c:v>
                </c:pt>
                <c:pt idx="77">
                  <c:v>0.99970030835538637</c:v>
                </c:pt>
                <c:pt idx="78">
                  <c:v>0.99973027741907572</c:v>
                </c:pt>
                <c:pt idx="79">
                  <c:v>0.99975724957585044</c:v>
                </c:pt>
                <c:pt idx="80">
                  <c:v>0.99978152451694768</c:v>
                </c:pt>
                <c:pt idx="81">
                  <c:v>0.99980337196393521</c:v>
                </c:pt>
                <c:pt idx="82">
                  <c:v>0.99982303466640587</c:v>
                </c:pt>
                <c:pt idx="83">
                  <c:v>0.99984073109953897</c:v>
                </c:pt>
                <c:pt idx="84">
                  <c:v>0.99985665788881306</c:v>
                </c:pt>
                <c:pt idx="85">
                  <c:v>0.99987099199915974</c:v>
                </c:pt>
                <c:pt idx="86">
                  <c:v>0.9998838926985627</c:v>
                </c:pt>
                <c:pt idx="87">
                  <c:v>0.99989550332793442</c:v>
                </c:pt>
                <c:pt idx="88">
                  <c:v>0.99990595289455086</c:v>
                </c:pt>
                <c:pt idx="89">
                  <c:v>0.99991535750450566</c:v>
                </c:pt>
                <c:pt idx="90">
                  <c:v>0.99992382165328308</c:v>
                </c:pt>
                <c:pt idx="91">
                  <c:v>0.99993143938718276</c:v>
                </c:pt>
                <c:pt idx="92">
                  <c:v>0.99993829534741963</c:v>
                </c:pt>
                <c:pt idx="93">
                  <c:v>0.99994446571190565</c:v>
                </c:pt>
                <c:pt idx="94">
                  <c:v>0.9999500190397157</c:v>
                </c:pt>
                <c:pt idx="95">
                  <c:v>0.99995501703460832</c:v>
                </c:pt>
                <c:pt idx="96">
                  <c:v>0.99995951523033</c:v>
                </c:pt>
                <c:pt idx="97">
                  <c:v>0.99996356360634309</c:v>
                </c:pt>
                <c:pt idx="98">
                  <c:v>0.99996720714466392</c:v>
                </c:pt>
                <c:pt idx="99">
                  <c:v>0.9999704863291754</c:v>
                </c:pt>
                <c:pt idx="100">
                  <c:v>0.99997343759537216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1-4F90-9BD3-2F67898C2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負の二項分布!$B$16:$B$116</c:f>
              <c:numCache>
                <c:formatCode>0.000000000%</c:formatCode>
                <c:ptCount val="101"/>
                <c:pt idx="0">
                  <c:v>3.4867844009999942E-11</c:v>
                </c:pt>
                <c:pt idx="1">
                  <c:v>4.8814981614000038E-10</c:v>
                </c:pt>
                <c:pt idx="2">
                  <c:v>3.5879011486290151E-9</c:v>
                </c:pt>
                <c:pt idx="3">
                  <c:v>1.8417892562962256E-8</c:v>
                </c:pt>
                <c:pt idx="4">
                  <c:v>7.4132017565922843E-8</c:v>
                </c:pt>
                <c:pt idx="5">
                  <c:v>2.4908357902150094E-7</c:v>
                </c:pt>
                <c:pt idx="6">
                  <c:v>7.264937721460448E-7</c:v>
                </c:pt>
                <c:pt idx="7">
                  <c:v>1.8888838075797103E-6</c:v>
                </c:pt>
                <c:pt idx="8">
                  <c:v>4.4624879954070703E-6</c:v>
                </c:pt>
                <c:pt idx="9">
                  <c:v>9.7183071899976527E-6</c:v>
                </c:pt>
                <c:pt idx="10">
                  <c:v>1.9728163595695152E-5</c:v>
                </c:pt>
                <c:pt idx="11">
                  <c:v>3.766285777359983E-5</c:v>
                </c:pt>
                <c:pt idx="12">
                  <c:v>6.8107001140592954E-5</c:v>
                </c:pt>
                <c:pt idx="13">
                  <c:v>1.1735360196532985E-4</c:v>
                </c:pt>
                <c:pt idx="14">
                  <c:v>1.936334432427947E-4</c:v>
                </c:pt>
                <c:pt idx="15">
                  <c:v>3.072317299452338E-4</c:v>
                </c:pt>
                <c:pt idx="16">
                  <c:v>4.7044858647863952E-4</c:v>
                </c:pt>
                <c:pt idx="17">
                  <c:v>6.9737084583892234E-4</c:v>
                </c:pt>
                <c:pt idx="18">
                  <c:v>1.0034391615126718E-3</c:v>
                </c:pt>
                <c:pt idx="19">
                  <c:v>1.4048148261177442E-3</c:v>
                </c:pt>
                <c:pt idx="20">
                  <c:v>1.9175722376507203E-3</c:v>
                </c:pt>
                <c:pt idx="21">
                  <c:v>2.5567629835342894E-3</c:v>
                </c:pt>
                <c:pt idx="22">
                  <c:v>3.3354135285197321E-3</c:v>
                </c:pt>
                <c:pt idx="23">
                  <c:v>4.2635285973252265E-3</c:v>
                </c:pt>
                <c:pt idx="24">
                  <c:v>5.3471754491453867E-3</c:v>
                </c:pt>
                <c:pt idx="25">
                  <c:v>6.5877201533471154E-3</c:v>
                </c:pt>
                <c:pt idx="26">
                  <c:v>7.981276339632087E-3</c:v>
                </c:pt>
                <c:pt idx="27">
                  <c:v>9.5184110420797278E-3</c:v>
                </c:pt>
                <c:pt idx="28">
                  <c:v>1.1184132974443704E-2</c:v>
                </c:pt>
                <c:pt idx="29">
                  <c:v>1.2958167860045102E-2</c:v>
                </c:pt>
                <c:pt idx="30">
                  <c:v>1.4815505253318257E-2</c:v>
                </c:pt>
                <c:pt idx="31">
                  <c:v>1.6727183350520588E-2</c:v>
                </c:pt>
                <c:pt idx="32">
                  <c:v>1.8661263925424536E-2</c:v>
                </c:pt>
                <c:pt idx="33">
                  <c:v>2.0583939602589498E-2</c:v>
                </c:pt>
                <c:pt idx="34">
                  <c:v>2.2460710566355003E-2</c:v>
                </c:pt>
                <c:pt idx="35">
                  <c:v>2.4257567411663423E-2</c:v>
                </c:pt>
                <c:pt idx="36">
                  <c:v>2.5942120704140037E-2</c:v>
                </c:pt>
                <c:pt idx="37">
                  <c:v>2.7484625178440254E-2</c:v>
                </c:pt>
                <c:pt idx="38">
                  <c:v>2.8858856437362256E-2</c:v>
                </c:pt>
                <c:pt idx="39">
                  <c:v>3.004280952197199E-2</c:v>
                </c:pt>
                <c:pt idx="40">
                  <c:v>3.101920083143608E-2</c:v>
                </c:pt>
                <c:pt idx="41">
                  <c:v>3.1775766705373541E-2</c:v>
                </c:pt>
                <c:pt idx="42">
                  <c:v>3.2305362817129778E-2</c:v>
                </c:pt>
                <c:pt idx="43">
                  <c:v>3.2605877820079808E-2</c:v>
                </c:pt>
                <c:pt idx="44">
                  <c:v>3.2679982087852708E-2</c:v>
                </c:pt>
                <c:pt idx="45">
                  <c:v>3.2534737723017806E-2</c:v>
                </c:pt>
                <c:pt idx="46">
                  <c:v>3.2181099269506741E-2</c:v>
                </c:pt>
                <c:pt idx="47">
                  <c:v>3.1633335877685347E-2</c:v>
                </c:pt>
                <c:pt idx="48">
                  <c:v>3.0908405263821742E-2</c:v>
                </c:pt>
                <c:pt idx="49">
                  <c:v>3.0025307970569709E-2</c:v>
                </c:pt>
                <c:pt idx="50">
                  <c:v>2.9004447499570343E-2</c:v>
                </c:pt>
                <c:pt idx="51">
                  <c:v>2.7867018185861681E-2</c:v>
                </c:pt>
                <c:pt idx="52">
                  <c:v>2.6634438535333177E-2</c:v>
                </c:pt>
                <c:pt idx="53">
                  <c:v>2.5327843437373446E-2</c:v>
                </c:pt>
                <c:pt idx="54">
                  <c:v>2.3967644437958954E-2</c:v>
                </c:pt>
                <c:pt idx="55">
                  <c:v>2.2573163307023147E-2</c:v>
                </c:pt>
                <c:pt idx="56">
                  <c:v>2.1162340600334201E-2</c:v>
                </c:pt>
                <c:pt idx="57">
                  <c:v>1.9751517893645255E-2</c:v>
                </c:pt>
                <c:pt idx="58">
                  <c:v>1.8355289904611723E-2</c:v>
                </c:pt>
                <c:pt idx="59">
                  <c:v>1.6986420826979667E-2</c:v>
                </c:pt>
                <c:pt idx="60">
                  <c:v>1.5655817862199571E-2</c:v>
                </c:pt>
                <c:pt idx="61">
                  <c:v>1.4372554103002892E-2</c:v>
                </c:pt>
                <c:pt idx="62">
                  <c:v>1.3143932542584898E-2</c:v>
                </c:pt>
                <c:pt idx="63">
                  <c:v>1.197558298324403E-2</c:v>
                </c:pt>
                <c:pt idx="64">
                  <c:v>1.0871583926976222E-2</c:v>
                </c:pt>
                <c:pt idx="65">
                  <c:v>9.8346020754800281E-3</c:v>
                </c:pt>
                <c:pt idx="66">
                  <c:v>8.8660427801675896E-3</c:v>
                </c:pt>
                <c:pt idx="67">
                  <c:v>7.9662056024789336E-3</c:v>
                </c:pt>
                <c:pt idx="68">
                  <c:v>7.1344400175142406E-3</c:v>
                </c:pt>
                <c:pt idx="69">
                  <c:v>6.3692971750561713E-3</c:v>
                </c:pt>
                <c:pt idx="70">
                  <c:v>5.6686744858000107E-3</c:v>
                </c:pt>
                <c:pt idx="71">
                  <c:v>5.0299506000760566E-3</c:v>
                </c:pt>
                <c:pt idx="72">
                  <c:v>4.4501090725672862E-3</c:v>
                </c:pt>
                <c:pt idx="73">
                  <c:v>3.925849647579905E-3</c:v>
                </c:pt>
                <c:pt idx="74">
                  <c:v>3.453686649425029E-3</c:v>
                </c:pt>
                <c:pt idx="75">
                  <c:v>3.0300344204288957E-3</c:v>
                </c:pt>
                <c:pt idx="76">
                  <c:v>2.6512801178752788E-3</c:v>
                </c:pt>
                <c:pt idx="77">
                  <c:v>2.3138444665093305E-3</c:v>
                </c:pt>
                <c:pt idx="78">
                  <c:v>2.0142312727690248E-3</c:v>
                </c:pt>
                <c:pt idx="79">
                  <c:v>1.7490666495184196E-3</c:v>
                </c:pt>
                <c:pt idx="80">
                  <c:v>1.5151289851453322E-3</c:v>
                </c:pt>
                <c:pt idx="81">
                  <c:v>1.3093707279033758E-3</c:v>
                </c:pt>
                <c:pt idx="82">
                  <c:v>1.1289330544240034E-3</c:v>
                </c:pt>
                <c:pt idx="83">
                  <c:v>9.7115445886595251E-4</c:v>
                </c:pt>
                <c:pt idx="84">
                  <c:v>8.335742438599405E-4</c:v>
                </c:pt>
                <c:pt idx="85">
                  <c:v>7.1393182297651279E-4</c:v>
                </c:pt>
                <c:pt idx="86">
                  <c:v>6.1016266266016158E-4</c:v>
                </c:pt>
                <c:pt idx="87">
                  <c:v>5.2039160424579092E-4</c:v>
                </c:pt>
                <c:pt idx="88">
                  <c:v>4.4292421770465652E-4</c:v>
                </c:pt>
                <c:pt idx="89">
                  <c:v>3.762367512187883E-4</c:v>
                </c:pt>
                <c:pt idx="90">
                  <c:v>3.1896515686659479E-4</c:v>
                </c:pt>
                <c:pt idx="91">
                  <c:v>2.6989359427173366E-4</c:v>
                </c:pt>
                <c:pt idx="92">
                  <c:v>2.2794274211862712E-4</c:v>
                </c:pt>
                <c:pt idx="93">
                  <c:v>1.9215818260322906E-4</c:v>
                </c:pt>
                <c:pt idx="94">
                  <c:v>1.6169906642463284E-4</c:v>
                </c:pt>
                <c:pt idx="95">
                  <c:v>1.3582721579669202E-4</c:v>
                </c:pt>
                <c:pt idx="96">
                  <c:v>1.1389677991285097E-4</c:v>
                </c:pt>
                <c:pt idx="97">
                  <c:v>9.5344520916736762E-5</c:v>
                </c:pt>
                <c:pt idx="98">
                  <c:v>7.96807781947016E-5</c:v>
                </c:pt>
                <c:pt idx="99">
                  <c:v>6.6481134130124734E-5</c:v>
                </c:pt>
                <c:pt idx="100">
                  <c:v>5.5378784730393755E-5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6-45F2-A7DF-58CAB26AB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負の二項分布!$C$16:$C$116</c:f>
              <c:numCache>
                <c:formatCode>0.000000000%</c:formatCode>
                <c:ptCount val="101"/>
                <c:pt idx="0">
                  <c:v>3.4867844009999942E-11</c:v>
                </c:pt>
                <c:pt idx="1">
                  <c:v>5.2301766015000035E-10</c:v>
                </c:pt>
                <c:pt idx="2">
                  <c:v>4.1109188087790152E-9</c:v>
                </c:pt>
                <c:pt idx="3">
                  <c:v>2.2528811371741272E-8</c:v>
                </c:pt>
                <c:pt idx="4">
                  <c:v>9.6660828937664115E-8</c:v>
                </c:pt>
                <c:pt idx="5">
                  <c:v>3.4574440795916504E-7</c:v>
                </c:pt>
                <c:pt idx="6">
                  <c:v>1.0722381801052098E-6</c:v>
                </c:pt>
                <c:pt idx="7">
                  <c:v>2.9611219876849199E-6</c:v>
                </c:pt>
                <c:pt idx="8">
                  <c:v>7.4236099830919902E-6</c:v>
                </c:pt>
                <c:pt idx="9">
                  <c:v>1.7141917173089644E-5</c:v>
                </c:pt>
                <c:pt idx="10">
                  <c:v>3.6870080768784799E-5</c:v>
                </c:pt>
                <c:pt idx="11">
                  <c:v>7.4532938542384635E-5</c:v>
                </c:pt>
                <c:pt idx="12">
                  <c:v>1.426399396829776E-4</c:v>
                </c:pt>
                <c:pt idx="13">
                  <c:v>2.5999354164830745E-4</c:v>
                </c:pt>
                <c:pt idx="14">
                  <c:v>4.5362698489110216E-4</c:v>
                </c:pt>
                <c:pt idx="15">
                  <c:v>7.6085871483633596E-4</c:v>
                </c:pt>
                <c:pt idx="16">
                  <c:v>1.2313073013149754E-3</c:v>
                </c:pt>
                <c:pt idx="17">
                  <c:v>1.9286781471538977E-3</c:v>
                </c:pt>
                <c:pt idx="18">
                  <c:v>2.9321173086665694E-3</c:v>
                </c:pt>
                <c:pt idx="19">
                  <c:v>4.3369321347843139E-3</c:v>
                </c:pt>
                <c:pt idx="20">
                  <c:v>6.2545043724350343E-3</c:v>
                </c:pt>
                <c:pt idx="21">
                  <c:v>8.8112673559693246E-3</c:v>
                </c:pt>
                <c:pt idx="22">
                  <c:v>1.2146680884489057E-2</c:v>
                </c:pt>
                <c:pt idx="23">
                  <c:v>1.6410209481814285E-2</c:v>
                </c:pt>
                <c:pt idx="24">
                  <c:v>2.1757384930959672E-2</c:v>
                </c:pt>
                <c:pt idx="25">
                  <c:v>2.8345105084306786E-2</c:v>
                </c:pt>
                <c:pt idx="26">
                  <c:v>3.6326381423938875E-2</c:v>
                </c:pt>
                <c:pt idx="27">
                  <c:v>4.5844792466018601E-2</c:v>
                </c:pt>
                <c:pt idx="28">
                  <c:v>5.7028925440462307E-2</c:v>
                </c:pt>
                <c:pt idx="29">
                  <c:v>6.9987093300507411E-2</c:v>
                </c:pt>
                <c:pt idx="30">
                  <c:v>8.4802598553825673E-2</c:v>
                </c:pt>
                <c:pt idx="31">
                  <c:v>0.10152978190434626</c:v>
                </c:pt>
                <c:pt idx="32">
                  <c:v>0.1201910458297708</c:v>
                </c:pt>
                <c:pt idx="33">
                  <c:v>0.14077498543236031</c:v>
                </c:pt>
                <c:pt idx="34">
                  <c:v>0.16323569599871532</c:v>
                </c:pt>
                <c:pt idx="35">
                  <c:v>0.18749326341037875</c:v>
                </c:pt>
                <c:pt idx="36">
                  <c:v>0.21343538411451879</c:v>
                </c:pt>
                <c:pt idx="37">
                  <c:v>0.24092000929295904</c:v>
                </c:pt>
                <c:pt idx="38">
                  <c:v>0.26977886573032128</c:v>
                </c:pt>
                <c:pt idx="39">
                  <c:v>0.29982167525229325</c:v>
                </c:pt>
                <c:pt idx="40">
                  <c:v>0.33084087608372931</c:v>
                </c:pt>
                <c:pt idx="41">
                  <c:v>0.36261664278910283</c:v>
                </c:pt>
                <c:pt idx="42">
                  <c:v>0.39492200560623258</c:v>
                </c:pt>
                <c:pt idx="43">
                  <c:v>0.42752788342631237</c:v>
                </c:pt>
                <c:pt idx="44">
                  <c:v>0.46020786551416509</c:v>
                </c:pt>
                <c:pt idx="45">
                  <c:v>0.49274260323718289</c:v>
                </c:pt>
                <c:pt idx="46">
                  <c:v>0.52492370250668963</c:v>
                </c:pt>
                <c:pt idx="47">
                  <c:v>0.55655703838437498</c:v>
                </c:pt>
                <c:pt idx="48">
                  <c:v>0.58746544364819675</c:v>
                </c:pt>
                <c:pt idx="49">
                  <c:v>0.61749075161876643</c:v>
                </c:pt>
                <c:pt idx="50">
                  <c:v>0.64649519911833675</c:v>
                </c:pt>
                <c:pt idx="51">
                  <c:v>0.67436221730419843</c:v>
                </c:pt>
                <c:pt idx="52">
                  <c:v>0.70099665583953163</c:v>
                </c:pt>
                <c:pt idx="53">
                  <c:v>0.72632449927690512</c:v>
                </c:pt>
                <c:pt idx="54">
                  <c:v>0.75029214371486408</c:v>
                </c:pt>
                <c:pt idx="55">
                  <c:v>0.77286530702188727</c:v>
                </c:pt>
                <c:pt idx="56">
                  <c:v>0.79402764762222144</c:v>
                </c:pt>
                <c:pt idx="57">
                  <c:v>0.81377916551586671</c:v>
                </c:pt>
                <c:pt idx="58">
                  <c:v>0.83213445542047848</c:v>
                </c:pt>
                <c:pt idx="59">
                  <c:v>0.84912087624745813</c:v>
                </c:pt>
                <c:pt idx="60">
                  <c:v>0.86477669410965774</c:v>
                </c:pt>
                <c:pt idx="61">
                  <c:v>0.87914924821266061</c:v>
                </c:pt>
                <c:pt idx="62">
                  <c:v>0.89229318075524555</c:v>
                </c:pt>
                <c:pt idx="63">
                  <c:v>0.90426876373848963</c:v>
                </c:pt>
                <c:pt idx="64">
                  <c:v>0.91514034766546581</c:v>
                </c:pt>
                <c:pt idx="65">
                  <c:v>0.92497494974094585</c:v>
                </c:pt>
                <c:pt idx="66">
                  <c:v>0.93384099252111341</c:v>
                </c:pt>
                <c:pt idx="67">
                  <c:v>0.94180719812359237</c:v>
                </c:pt>
                <c:pt idx="68">
                  <c:v>0.94894163814110666</c:v>
                </c:pt>
                <c:pt idx="69">
                  <c:v>0.95531093531616285</c:v>
                </c:pt>
                <c:pt idx="70">
                  <c:v>0.96097960980196284</c:v>
                </c:pt>
                <c:pt idx="71">
                  <c:v>0.96600956040203889</c:v>
                </c:pt>
                <c:pt idx="72">
                  <c:v>0.97045966947460616</c:v>
                </c:pt>
                <c:pt idx="73">
                  <c:v>0.97438551912218607</c:v>
                </c:pt>
                <c:pt idx="74">
                  <c:v>0.9778392057716111</c:v>
                </c:pt>
                <c:pt idx="75">
                  <c:v>0.98086924019204003</c:v>
                </c:pt>
                <c:pt idx="76">
                  <c:v>0.98352052030991532</c:v>
                </c:pt>
                <c:pt idx="77">
                  <c:v>0.98583436477642461</c:v>
                </c:pt>
                <c:pt idx="78">
                  <c:v>0.98784859604919362</c:v>
                </c:pt>
                <c:pt idx="79">
                  <c:v>0.98959766269871208</c:v>
                </c:pt>
                <c:pt idx="80">
                  <c:v>0.99111279168385746</c:v>
                </c:pt>
                <c:pt idx="81">
                  <c:v>0.99242216241176084</c:v>
                </c:pt>
                <c:pt idx="82">
                  <c:v>0.99355109546618481</c:v>
                </c:pt>
                <c:pt idx="83">
                  <c:v>0.99452224992505078</c:v>
                </c:pt>
                <c:pt idx="84">
                  <c:v>0.99535582416891077</c:v>
                </c:pt>
                <c:pt idx="85">
                  <c:v>0.9960697559918873</c:v>
                </c:pt>
                <c:pt idx="86">
                  <c:v>0.99667991865454741</c:v>
                </c:pt>
                <c:pt idx="87">
                  <c:v>0.99720031025879319</c:v>
                </c:pt>
                <c:pt idx="88">
                  <c:v>0.99764323447649783</c:v>
                </c:pt>
                <c:pt idx="89">
                  <c:v>0.99801947122771661</c:v>
                </c:pt>
                <c:pt idx="90">
                  <c:v>0.99833843638458319</c:v>
                </c:pt>
                <c:pt idx="91">
                  <c:v>0.99860832997885496</c:v>
                </c:pt>
                <c:pt idx="92">
                  <c:v>0.99883627272097364</c:v>
                </c:pt>
                <c:pt idx="93">
                  <c:v>0.99902843090357685</c:v>
                </c:pt>
                <c:pt idx="94">
                  <c:v>0.99919012997000145</c:v>
                </c:pt>
                <c:pt idx="95">
                  <c:v>0.9993259571857982</c:v>
                </c:pt>
                <c:pt idx="96">
                  <c:v>0.999439853965711</c:v>
                </c:pt>
                <c:pt idx="97">
                  <c:v>0.99953519848662775</c:v>
                </c:pt>
                <c:pt idx="98">
                  <c:v>0.9996148792648224</c:v>
                </c:pt>
                <c:pt idx="99">
                  <c:v>0.9996813603989525</c:v>
                </c:pt>
                <c:pt idx="100">
                  <c:v>0.99973673918368289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1-4DFA-B581-63BE8324F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離散型一様分布!$B$16:$B$116</c:f>
              <c:numCache>
                <c:formatCode>0.000000000%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E-4248-BA0F-AF44100BF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離散型一様分布!$C$16:$C$116</c:f>
              <c:numCache>
                <c:formatCode>0.000000000%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1.0000000000000002</c:v>
                </c:pt>
                <c:pt idx="22">
                  <c:v>1.0000000000000002</c:v>
                </c:pt>
                <c:pt idx="23">
                  <c:v>1.0000000000000002</c:v>
                </c:pt>
                <c:pt idx="24">
                  <c:v>1.0000000000000002</c:v>
                </c:pt>
                <c:pt idx="25">
                  <c:v>1.0000000000000002</c:v>
                </c:pt>
                <c:pt idx="26">
                  <c:v>1.0000000000000002</c:v>
                </c:pt>
                <c:pt idx="27">
                  <c:v>1.0000000000000002</c:v>
                </c:pt>
                <c:pt idx="28">
                  <c:v>1.0000000000000002</c:v>
                </c:pt>
                <c:pt idx="29">
                  <c:v>1.0000000000000002</c:v>
                </c:pt>
                <c:pt idx="30">
                  <c:v>1.0000000000000002</c:v>
                </c:pt>
                <c:pt idx="31">
                  <c:v>1.0000000000000002</c:v>
                </c:pt>
                <c:pt idx="32">
                  <c:v>1.0000000000000002</c:v>
                </c:pt>
                <c:pt idx="33">
                  <c:v>1.0000000000000002</c:v>
                </c:pt>
                <c:pt idx="34">
                  <c:v>1.0000000000000002</c:v>
                </c:pt>
                <c:pt idx="35">
                  <c:v>1.0000000000000002</c:v>
                </c:pt>
                <c:pt idx="36">
                  <c:v>1.0000000000000002</c:v>
                </c:pt>
                <c:pt idx="37">
                  <c:v>1.0000000000000002</c:v>
                </c:pt>
                <c:pt idx="38">
                  <c:v>1.0000000000000002</c:v>
                </c:pt>
                <c:pt idx="39">
                  <c:v>1.0000000000000002</c:v>
                </c:pt>
                <c:pt idx="40">
                  <c:v>1.0000000000000002</c:v>
                </c:pt>
                <c:pt idx="41">
                  <c:v>1.0000000000000002</c:v>
                </c:pt>
                <c:pt idx="42">
                  <c:v>1.0000000000000002</c:v>
                </c:pt>
                <c:pt idx="43">
                  <c:v>1.0000000000000002</c:v>
                </c:pt>
                <c:pt idx="44">
                  <c:v>1.0000000000000002</c:v>
                </c:pt>
                <c:pt idx="45">
                  <c:v>1.0000000000000002</c:v>
                </c:pt>
                <c:pt idx="46">
                  <c:v>1.0000000000000002</c:v>
                </c:pt>
                <c:pt idx="47">
                  <c:v>1.0000000000000002</c:v>
                </c:pt>
                <c:pt idx="48">
                  <c:v>1.0000000000000002</c:v>
                </c:pt>
                <c:pt idx="49">
                  <c:v>1.0000000000000002</c:v>
                </c:pt>
                <c:pt idx="50">
                  <c:v>1.0000000000000002</c:v>
                </c:pt>
                <c:pt idx="51">
                  <c:v>1.0000000000000002</c:v>
                </c:pt>
                <c:pt idx="52">
                  <c:v>1.0000000000000002</c:v>
                </c:pt>
                <c:pt idx="53">
                  <c:v>1.0000000000000002</c:v>
                </c:pt>
                <c:pt idx="54">
                  <c:v>1.0000000000000002</c:v>
                </c:pt>
                <c:pt idx="55">
                  <c:v>1.0000000000000002</c:v>
                </c:pt>
                <c:pt idx="56">
                  <c:v>1.0000000000000002</c:v>
                </c:pt>
                <c:pt idx="57">
                  <c:v>1.0000000000000002</c:v>
                </c:pt>
                <c:pt idx="58">
                  <c:v>1.0000000000000002</c:v>
                </c:pt>
                <c:pt idx="59">
                  <c:v>1.0000000000000002</c:v>
                </c:pt>
                <c:pt idx="60">
                  <c:v>1.0000000000000002</c:v>
                </c:pt>
                <c:pt idx="61">
                  <c:v>1.0000000000000002</c:v>
                </c:pt>
                <c:pt idx="62">
                  <c:v>1.0000000000000002</c:v>
                </c:pt>
                <c:pt idx="63">
                  <c:v>1.0000000000000002</c:v>
                </c:pt>
                <c:pt idx="64">
                  <c:v>1.0000000000000002</c:v>
                </c:pt>
                <c:pt idx="65">
                  <c:v>1.0000000000000002</c:v>
                </c:pt>
                <c:pt idx="66">
                  <c:v>1.0000000000000002</c:v>
                </c:pt>
                <c:pt idx="67">
                  <c:v>1.0000000000000002</c:v>
                </c:pt>
                <c:pt idx="68">
                  <c:v>1.0000000000000002</c:v>
                </c:pt>
                <c:pt idx="69">
                  <c:v>1.0000000000000002</c:v>
                </c:pt>
                <c:pt idx="70">
                  <c:v>1.0000000000000002</c:v>
                </c:pt>
                <c:pt idx="71">
                  <c:v>1.0000000000000002</c:v>
                </c:pt>
                <c:pt idx="72">
                  <c:v>1.0000000000000002</c:v>
                </c:pt>
                <c:pt idx="73">
                  <c:v>1.0000000000000002</c:v>
                </c:pt>
                <c:pt idx="74">
                  <c:v>1.0000000000000002</c:v>
                </c:pt>
                <c:pt idx="75">
                  <c:v>1.0000000000000002</c:v>
                </c:pt>
                <c:pt idx="76">
                  <c:v>1.0000000000000002</c:v>
                </c:pt>
                <c:pt idx="77">
                  <c:v>1.0000000000000002</c:v>
                </c:pt>
                <c:pt idx="78">
                  <c:v>1.0000000000000002</c:v>
                </c:pt>
                <c:pt idx="79">
                  <c:v>1.0000000000000002</c:v>
                </c:pt>
                <c:pt idx="80">
                  <c:v>1.0000000000000002</c:v>
                </c:pt>
                <c:pt idx="81">
                  <c:v>1.0000000000000002</c:v>
                </c:pt>
                <c:pt idx="82">
                  <c:v>1.0000000000000002</c:v>
                </c:pt>
                <c:pt idx="83">
                  <c:v>1.0000000000000002</c:v>
                </c:pt>
                <c:pt idx="84">
                  <c:v>1.0000000000000002</c:v>
                </c:pt>
                <c:pt idx="85">
                  <c:v>1.0000000000000002</c:v>
                </c:pt>
                <c:pt idx="86">
                  <c:v>1.0000000000000002</c:v>
                </c:pt>
                <c:pt idx="87">
                  <c:v>1.0000000000000002</c:v>
                </c:pt>
                <c:pt idx="88">
                  <c:v>1.0000000000000002</c:v>
                </c:pt>
                <c:pt idx="89">
                  <c:v>1.0000000000000002</c:v>
                </c:pt>
                <c:pt idx="90">
                  <c:v>1.0000000000000002</c:v>
                </c:pt>
                <c:pt idx="91">
                  <c:v>1.0000000000000002</c:v>
                </c:pt>
                <c:pt idx="92">
                  <c:v>1.0000000000000002</c:v>
                </c:pt>
                <c:pt idx="93">
                  <c:v>1.0000000000000002</c:v>
                </c:pt>
                <c:pt idx="94">
                  <c:v>1.0000000000000002</c:v>
                </c:pt>
                <c:pt idx="95">
                  <c:v>1.0000000000000002</c:v>
                </c:pt>
                <c:pt idx="96">
                  <c:v>1.0000000000000002</c:v>
                </c:pt>
                <c:pt idx="97">
                  <c:v>1.0000000000000002</c:v>
                </c:pt>
                <c:pt idx="98">
                  <c:v>1.0000000000000002</c:v>
                </c:pt>
                <c:pt idx="99">
                  <c:v>1.0000000000000002</c:v>
                </c:pt>
                <c:pt idx="100">
                  <c:v>1.0000000000000002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E-4F86-8406-056A91EE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正規分布!$B$16:$B$116</c:f>
              <c:numCache>
                <c:formatCode>0.000000000%</c:formatCode>
                <c:ptCount val="101"/>
                <c:pt idx="0">
                  <c:v>1.4867195147342977E-7</c:v>
                </c:pt>
                <c:pt idx="1">
                  <c:v>2.438960745893352E-7</c:v>
                </c:pt>
                <c:pt idx="2">
                  <c:v>3.9612990910320755E-7</c:v>
                </c:pt>
                <c:pt idx="3">
                  <c:v>6.3698251788670893E-7</c:v>
                </c:pt>
                <c:pt idx="4">
                  <c:v>1.014085206548676E-6</c:v>
                </c:pt>
                <c:pt idx="5">
                  <c:v>1.5983741106905478E-6</c:v>
                </c:pt>
                <c:pt idx="6">
                  <c:v>2.4942471290053532E-6</c:v>
                </c:pt>
                <c:pt idx="7">
                  <c:v>3.8535196742087128E-6</c:v>
                </c:pt>
                <c:pt idx="8">
                  <c:v>5.8943067756539858E-6</c:v>
                </c:pt>
                <c:pt idx="9">
                  <c:v>8.9261657177132918E-6</c:v>
                </c:pt>
                <c:pt idx="10">
                  <c:v>1.3383022576488536E-5</c:v>
                </c:pt>
                <c:pt idx="11">
                  <c:v>1.9865547139277272E-5</c:v>
                </c:pt>
                <c:pt idx="12">
                  <c:v>2.9194692579146026E-5</c:v>
                </c:pt>
                <c:pt idx="13">
                  <c:v>4.2478027055075142E-5</c:v>
                </c:pt>
                <c:pt idx="14">
                  <c:v>6.1190193011377187E-5</c:v>
                </c:pt>
                <c:pt idx="15">
                  <c:v>8.726826950457601E-5</c:v>
                </c:pt>
                <c:pt idx="16">
                  <c:v>1.2322191684730198E-4</c:v>
                </c:pt>
                <c:pt idx="17">
                  <c:v>1.722568939053681E-4</c:v>
                </c:pt>
                <c:pt idx="18">
                  <c:v>2.3840882014648405E-4</c:v>
                </c:pt>
                <c:pt idx="19">
                  <c:v>3.2668190561999186E-4</c:v>
                </c:pt>
                <c:pt idx="20">
                  <c:v>4.4318484119380076E-4</c:v>
                </c:pt>
                <c:pt idx="21">
                  <c:v>5.9525324197758534E-4</c:v>
                </c:pt>
                <c:pt idx="22">
                  <c:v>7.9154515829799694E-4</c:v>
                </c:pt>
                <c:pt idx="23">
                  <c:v>1.0420934814422591E-3</c:v>
                </c:pt>
                <c:pt idx="24">
                  <c:v>1.3582969233685612E-3</c:v>
                </c:pt>
                <c:pt idx="25">
                  <c:v>1.752830049356854E-3</c:v>
                </c:pt>
                <c:pt idx="26">
                  <c:v>2.2394530294842902E-3</c:v>
                </c:pt>
                <c:pt idx="27">
                  <c:v>2.8327037741601186E-3</c:v>
                </c:pt>
                <c:pt idx="28">
                  <c:v>3.5474592846231421E-3</c:v>
                </c:pt>
                <c:pt idx="29">
                  <c:v>4.3983595980427196E-3</c:v>
                </c:pt>
                <c:pt idx="30">
                  <c:v>5.3990966513188061E-3</c:v>
                </c:pt>
                <c:pt idx="31">
                  <c:v>6.5615814774676604E-3</c:v>
                </c:pt>
                <c:pt idx="32">
                  <c:v>7.8950158300894139E-3</c:v>
                </c:pt>
                <c:pt idx="33">
                  <c:v>9.4049077376886937E-3</c:v>
                </c:pt>
                <c:pt idx="34">
                  <c:v>1.1092083467945555E-2</c:v>
                </c:pt>
                <c:pt idx="35">
                  <c:v>1.2951759566589173E-2</c:v>
                </c:pt>
                <c:pt idx="36">
                  <c:v>1.4972746563574486E-2</c:v>
                </c:pt>
                <c:pt idx="37">
                  <c:v>1.7136859204780735E-2</c:v>
                </c:pt>
                <c:pt idx="38">
                  <c:v>1.9418605498321296E-2</c:v>
                </c:pt>
                <c:pt idx="39">
                  <c:v>2.1785217703255054E-2</c:v>
                </c:pt>
                <c:pt idx="40">
                  <c:v>2.4197072451914336E-2</c:v>
                </c:pt>
                <c:pt idx="41">
                  <c:v>2.6608524989875482E-2</c:v>
                </c:pt>
                <c:pt idx="42">
                  <c:v>2.8969155276148274E-2</c:v>
                </c:pt>
                <c:pt idx="43">
                  <c:v>3.1225393336676129E-2</c:v>
                </c:pt>
                <c:pt idx="44">
                  <c:v>3.3322460289179963E-2</c:v>
                </c:pt>
                <c:pt idx="45">
                  <c:v>3.5206532676429952E-2</c:v>
                </c:pt>
                <c:pt idx="46">
                  <c:v>3.6827014030332332E-2</c:v>
                </c:pt>
                <c:pt idx="47">
                  <c:v>3.8138781546052408E-2</c:v>
                </c:pt>
                <c:pt idx="48">
                  <c:v>3.9104269397545591E-2</c:v>
                </c:pt>
                <c:pt idx="49">
                  <c:v>3.9695254747701178E-2</c:v>
                </c:pt>
                <c:pt idx="50">
                  <c:v>3.9894228040143274E-2</c:v>
                </c:pt>
                <c:pt idx="51">
                  <c:v>3.9695254747701178E-2</c:v>
                </c:pt>
                <c:pt idx="52">
                  <c:v>3.9104269397545591E-2</c:v>
                </c:pt>
                <c:pt idx="53">
                  <c:v>3.8138781546052408E-2</c:v>
                </c:pt>
                <c:pt idx="54">
                  <c:v>3.6827014030332332E-2</c:v>
                </c:pt>
                <c:pt idx="55">
                  <c:v>3.5206532676429952E-2</c:v>
                </c:pt>
                <c:pt idx="56">
                  <c:v>3.3322460289179963E-2</c:v>
                </c:pt>
                <c:pt idx="57">
                  <c:v>3.1225393336676129E-2</c:v>
                </c:pt>
                <c:pt idx="58">
                  <c:v>2.8969155276148274E-2</c:v>
                </c:pt>
                <c:pt idx="59">
                  <c:v>2.6608524989875482E-2</c:v>
                </c:pt>
                <c:pt idx="60">
                  <c:v>2.4197072451914336E-2</c:v>
                </c:pt>
                <c:pt idx="61">
                  <c:v>2.1785217703255054E-2</c:v>
                </c:pt>
                <c:pt idx="62">
                  <c:v>1.9418605498321296E-2</c:v>
                </c:pt>
                <c:pt idx="63">
                  <c:v>1.7136859204780735E-2</c:v>
                </c:pt>
                <c:pt idx="64">
                  <c:v>1.4972746563574486E-2</c:v>
                </c:pt>
                <c:pt idx="65">
                  <c:v>1.2951759566589173E-2</c:v>
                </c:pt>
                <c:pt idx="66">
                  <c:v>1.1092083467945555E-2</c:v>
                </c:pt>
                <c:pt idx="67">
                  <c:v>9.4049077376886937E-3</c:v>
                </c:pt>
                <c:pt idx="68">
                  <c:v>7.8950158300894139E-3</c:v>
                </c:pt>
                <c:pt idx="69">
                  <c:v>6.5615814774676604E-3</c:v>
                </c:pt>
                <c:pt idx="70">
                  <c:v>5.3990966513188061E-3</c:v>
                </c:pt>
                <c:pt idx="71">
                  <c:v>4.3983595980427196E-3</c:v>
                </c:pt>
                <c:pt idx="72">
                  <c:v>3.5474592846231421E-3</c:v>
                </c:pt>
                <c:pt idx="73">
                  <c:v>2.8327037741601186E-3</c:v>
                </c:pt>
                <c:pt idx="74">
                  <c:v>2.2394530294842902E-3</c:v>
                </c:pt>
                <c:pt idx="75">
                  <c:v>1.752830049356854E-3</c:v>
                </c:pt>
                <c:pt idx="76">
                  <c:v>1.3582969233685612E-3</c:v>
                </c:pt>
                <c:pt idx="77">
                  <c:v>1.0420934814422591E-3</c:v>
                </c:pt>
                <c:pt idx="78">
                  <c:v>7.9154515829799694E-4</c:v>
                </c:pt>
                <c:pt idx="79">
                  <c:v>5.9525324197758534E-4</c:v>
                </c:pt>
                <c:pt idx="80">
                  <c:v>4.4318484119380076E-4</c:v>
                </c:pt>
                <c:pt idx="81">
                  <c:v>3.2668190561999186E-4</c:v>
                </c:pt>
                <c:pt idx="82">
                  <c:v>2.3840882014648405E-4</c:v>
                </c:pt>
                <c:pt idx="83">
                  <c:v>1.722568939053681E-4</c:v>
                </c:pt>
                <c:pt idx="84">
                  <c:v>1.2322191684730198E-4</c:v>
                </c:pt>
                <c:pt idx="85">
                  <c:v>8.726826950457601E-5</c:v>
                </c:pt>
                <c:pt idx="86">
                  <c:v>6.1190193011377187E-5</c:v>
                </c:pt>
                <c:pt idx="87">
                  <c:v>4.2478027055075142E-5</c:v>
                </c:pt>
                <c:pt idx="88">
                  <c:v>2.9194692579146026E-5</c:v>
                </c:pt>
                <c:pt idx="89">
                  <c:v>1.9865547139277272E-5</c:v>
                </c:pt>
                <c:pt idx="90">
                  <c:v>1.3383022576488536E-5</c:v>
                </c:pt>
                <c:pt idx="91">
                  <c:v>8.9261657177132918E-6</c:v>
                </c:pt>
                <c:pt idx="92">
                  <c:v>5.8943067756539858E-6</c:v>
                </c:pt>
                <c:pt idx="93">
                  <c:v>3.8535196742087128E-6</c:v>
                </c:pt>
                <c:pt idx="94">
                  <c:v>2.4942471290053532E-6</c:v>
                </c:pt>
                <c:pt idx="95">
                  <c:v>1.5983741106905478E-6</c:v>
                </c:pt>
                <c:pt idx="96">
                  <c:v>1.014085206548676E-6</c:v>
                </c:pt>
                <c:pt idx="97">
                  <c:v>6.3698251788670893E-7</c:v>
                </c:pt>
                <c:pt idx="98">
                  <c:v>3.9612990910320755E-7</c:v>
                </c:pt>
                <c:pt idx="99">
                  <c:v>2.438960745893352E-7</c:v>
                </c:pt>
                <c:pt idx="100">
                  <c:v>1.4867195147342977E-7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FA9-95C4-BFBB4DE4A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正規分布!$C$16:$C$116</c:f>
              <c:numCache>
                <c:formatCode>0.000000000%</c:formatCode>
                <c:ptCount val="101"/>
                <c:pt idx="0">
                  <c:v>1.4867195147342977E-7</c:v>
                </c:pt>
                <c:pt idx="1">
                  <c:v>3.9256802606276494E-7</c:v>
                </c:pt>
                <c:pt idx="2">
                  <c:v>7.8869793516597249E-7</c:v>
                </c:pt>
                <c:pt idx="3">
                  <c:v>1.4256804530526815E-6</c:v>
                </c:pt>
                <c:pt idx="4">
                  <c:v>2.4397656596013578E-6</c:v>
                </c:pt>
                <c:pt idx="5">
                  <c:v>4.0381397702919058E-6</c:v>
                </c:pt>
                <c:pt idx="6">
                  <c:v>6.5323868992972589E-6</c:v>
                </c:pt>
                <c:pt idx="7">
                  <c:v>1.0385906573505973E-5</c:v>
                </c:pt>
                <c:pt idx="8">
                  <c:v>1.628021334915996E-5</c:v>
                </c:pt>
                <c:pt idx="9">
                  <c:v>2.520637906687325E-5</c:v>
                </c:pt>
                <c:pt idx="10">
                  <c:v>3.8589401643361784E-5</c:v>
                </c:pt>
                <c:pt idx="11">
                  <c:v>5.8454948782639056E-5</c:v>
                </c:pt>
                <c:pt idx="12">
                  <c:v>8.7649641361785079E-5</c:v>
                </c:pt>
                <c:pt idx="13">
                  <c:v>1.3012766841686023E-4</c:v>
                </c:pt>
                <c:pt idx="14">
                  <c:v>1.9131786142823743E-4</c:v>
                </c:pt>
                <c:pt idx="15">
                  <c:v>2.7858613093281347E-4</c:v>
                </c:pt>
                <c:pt idx="16">
                  <c:v>4.0180804778011545E-4</c:v>
                </c:pt>
                <c:pt idx="17">
                  <c:v>5.740649416854835E-4</c:v>
                </c:pt>
                <c:pt idx="18">
                  <c:v>8.1247376183196749E-4</c:v>
                </c:pt>
                <c:pt idx="19">
                  <c:v>1.1391556674519594E-3</c:v>
                </c:pt>
                <c:pt idx="20">
                  <c:v>1.5823405086457601E-3</c:v>
                </c:pt>
                <c:pt idx="21">
                  <c:v>2.1775937506233454E-3</c:v>
                </c:pt>
                <c:pt idx="22">
                  <c:v>2.9691389089213423E-3</c:v>
                </c:pt>
                <c:pt idx="23">
                  <c:v>4.0112323903636017E-3</c:v>
                </c:pt>
                <c:pt idx="24">
                  <c:v>5.3695293137321631E-3</c:v>
                </c:pt>
                <c:pt idx="25">
                  <c:v>7.1223593630890172E-3</c:v>
                </c:pt>
                <c:pt idx="26">
                  <c:v>9.3618123925733078E-3</c:v>
                </c:pt>
                <c:pt idx="27">
                  <c:v>1.2194516166733426E-2</c:v>
                </c:pt>
                <c:pt idx="28">
                  <c:v>1.5741975451356569E-2</c:v>
                </c:pt>
                <c:pt idx="29">
                  <c:v>2.0140335049399289E-2</c:v>
                </c:pt>
                <c:pt idx="30">
                  <c:v>2.5539431700718096E-2</c:v>
                </c:pt>
                <c:pt idx="31">
                  <c:v>3.2101013178185756E-2</c:v>
                </c:pt>
                <c:pt idx="32">
                  <c:v>3.9996029008275168E-2</c:v>
                </c:pt>
                <c:pt idx="33">
                  <c:v>4.940093674596386E-2</c:v>
                </c:pt>
                <c:pt idx="34">
                  <c:v>6.0493020213909413E-2</c:v>
                </c:pt>
                <c:pt idx="35">
                  <c:v>7.3444779780498584E-2</c:v>
                </c:pt>
                <c:pt idx="36">
                  <c:v>8.8417526344073072E-2</c:v>
                </c:pt>
                <c:pt idx="37">
                  <c:v>0.10555438554885381</c:v>
                </c:pt>
                <c:pt idx="38">
                  <c:v>0.1249729910471751</c:v>
                </c:pt>
                <c:pt idx="39">
                  <c:v>0.14675820875043016</c:v>
                </c:pt>
                <c:pt idx="40">
                  <c:v>0.17095528120234449</c:v>
                </c:pt>
                <c:pt idx="41">
                  <c:v>0.19756380619221997</c:v>
                </c:pt>
                <c:pt idx="42">
                  <c:v>0.22653296146836824</c:v>
                </c:pt>
                <c:pt idx="43">
                  <c:v>0.25775835480504439</c:v>
                </c:pt>
                <c:pt idx="44">
                  <c:v>0.29108081509422434</c:v>
                </c:pt>
                <c:pt idx="45">
                  <c:v>0.32628734777065427</c:v>
                </c:pt>
                <c:pt idx="46">
                  <c:v>0.36311436180098661</c:v>
                </c:pt>
                <c:pt idx="47">
                  <c:v>0.40125314334703899</c:v>
                </c:pt>
                <c:pt idx="48">
                  <c:v>0.44035741274458456</c:v>
                </c:pt>
                <c:pt idx="49">
                  <c:v>0.48005266749228576</c:v>
                </c:pt>
                <c:pt idx="50">
                  <c:v>0.51994689553242901</c:v>
                </c:pt>
                <c:pt idx="51">
                  <c:v>0.5596421502801302</c:v>
                </c:pt>
                <c:pt idx="52">
                  <c:v>0.59874641967767583</c:v>
                </c:pt>
                <c:pt idx="53">
                  <c:v>0.63688520122372827</c:v>
                </c:pt>
                <c:pt idx="54">
                  <c:v>0.67371221525406055</c:v>
                </c:pt>
                <c:pt idx="55">
                  <c:v>0.70891874793049048</c:v>
                </c:pt>
                <c:pt idx="56">
                  <c:v>0.74224120821967043</c:v>
                </c:pt>
                <c:pt idx="57">
                  <c:v>0.77346660155634661</c:v>
                </c:pt>
                <c:pt idx="58">
                  <c:v>0.80243575683249491</c:v>
                </c:pt>
                <c:pt idx="59">
                  <c:v>0.82904428182237044</c:v>
                </c:pt>
                <c:pt idx="60">
                  <c:v>0.85324135427428482</c:v>
                </c:pt>
                <c:pt idx="61">
                  <c:v>0.87502657197753986</c:v>
                </c:pt>
                <c:pt idx="62">
                  <c:v>0.89444517747586116</c:v>
                </c:pt>
                <c:pt idx="63">
                  <c:v>0.91158203668064186</c:v>
                </c:pt>
                <c:pt idx="64">
                  <c:v>0.92655478324421636</c:v>
                </c:pt>
                <c:pt idx="65">
                  <c:v>0.93950654281080559</c:v>
                </c:pt>
                <c:pt idx="66">
                  <c:v>0.95059862627875114</c:v>
                </c:pt>
                <c:pt idx="67">
                  <c:v>0.96000353401643979</c:v>
                </c:pt>
                <c:pt idx="68">
                  <c:v>0.96789854984652923</c:v>
                </c:pt>
                <c:pt idx="69">
                  <c:v>0.97446013132399689</c:v>
                </c:pt>
                <c:pt idx="70">
                  <c:v>0.97985922797531566</c:v>
                </c:pt>
                <c:pt idx="71">
                  <c:v>0.98425758757335835</c:v>
                </c:pt>
                <c:pt idx="72">
                  <c:v>0.98780504685798154</c:v>
                </c:pt>
                <c:pt idx="73">
                  <c:v>0.99063775063214166</c:v>
                </c:pt>
                <c:pt idx="74">
                  <c:v>0.99287720366162591</c:v>
                </c:pt>
                <c:pt idx="75">
                  <c:v>0.9946300337109828</c:v>
                </c:pt>
                <c:pt idx="76">
                  <c:v>0.99598833063435133</c:v>
                </c:pt>
                <c:pt idx="77">
                  <c:v>0.99703042411579357</c:v>
                </c:pt>
                <c:pt idx="78">
                  <c:v>0.99782196927409161</c:v>
                </c:pt>
                <c:pt idx="79">
                  <c:v>0.99841722251606924</c:v>
                </c:pt>
                <c:pt idx="80">
                  <c:v>0.998860407357263</c:v>
                </c:pt>
                <c:pt idx="81">
                  <c:v>0.99918708926288302</c:v>
                </c:pt>
                <c:pt idx="82">
                  <c:v>0.9994254980830295</c:v>
                </c:pt>
                <c:pt idx="83">
                  <c:v>0.99959775497693482</c:v>
                </c:pt>
                <c:pt idx="84">
                  <c:v>0.99972097689378214</c:v>
                </c:pt>
                <c:pt idx="85">
                  <c:v>0.9998082451632867</c:v>
                </c:pt>
                <c:pt idx="86">
                  <c:v>0.99986943535629813</c:v>
                </c:pt>
                <c:pt idx="87">
                  <c:v>0.99991191338335317</c:v>
                </c:pt>
                <c:pt idx="88">
                  <c:v>0.99994110807593228</c:v>
                </c:pt>
                <c:pt idx="89">
                  <c:v>0.99996097362307157</c:v>
                </c:pt>
                <c:pt idx="90">
                  <c:v>0.99997435664564804</c:v>
                </c:pt>
                <c:pt idx="91">
                  <c:v>0.99998328281136573</c:v>
                </c:pt>
                <c:pt idx="92">
                  <c:v>0.99998917711814139</c:v>
                </c:pt>
                <c:pt idx="93">
                  <c:v>0.99999303063781564</c:v>
                </c:pt>
                <c:pt idx="94">
                  <c:v>0.9999955248849447</c:v>
                </c:pt>
                <c:pt idx="95">
                  <c:v>0.99999712325905543</c:v>
                </c:pt>
                <c:pt idx="96">
                  <c:v>0.99999813734426202</c:v>
                </c:pt>
                <c:pt idx="97">
                  <c:v>0.99999877432677986</c:v>
                </c:pt>
                <c:pt idx="98">
                  <c:v>0.99999917045668896</c:v>
                </c:pt>
                <c:pt idx="99">
                  <c:v>0.99999941435276352</c:v>
                </c:pt>
                <c:pt idx="100">
                  <c:v>0.99999956302471504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7-4CE6-90F2-382431D4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指数分布!$C$15:$C$115</c:f>
              <c:numCache>
                <c:formatCode>0.000000000%</c:formatCode>
                <c:ptCount val="101"/>
                <c:pt idx="0">
                  <c:v>0</c:v>
                </c:pt>
                <c:pt idx="1">
                  <c:v>9.5162581964040427E-2</c:v>
                </c:pt>
                <c:pt idx="2">
                  <c:v>0.18126924692201815</c:v>
                </c:pt>
                <c:pt idx="3">
                  <c:v>0.25918177931828218</c:v>
                </c:pt>
                <c:pt idx="4">
                  <c:v>0.32967995396436073</c:v>
                </c:pt>
                <c:pt idx="5">
                  <c:v>0.39346934028736658</c:v>
                </c:pt>
                <c:pt idx="6">
                  <c:v>0.45118836390597356</c:v>
                </c:pt>
                <c:pt idx="7">
                  <c:v>0.50341469620859058</c:v>
                </c:pt>
                <c:pt idx="8">
                  <c:v>0.55067103588277844</c:v>
                </c:pt>
                <c:pt idx="9">
                  <c:v>0.59343034025940089</c:v>
                </c:pt>
                <c:pt idx="10">
                  <c:v>0.63212055882855767</c:v>
                </c:pt>
                <c:pt idx="11">
                  <c:v>0.6671289163019205</c:v>
                </c:pt>
                <c:pt idx="12">
                  <c:v>0.69880578808779803</c:v>
                </c:pt>
                <c:pt idx="13">
                  <c:v>0.72746820696598746</c:v>
                </c:pt>
                <c:pt idx="14">
                  <c:v>0.75340303605839354</c:v>
                </c:pt>
                <c:pt idx="15">
                  <c:v>0.77686983985157021</c:v>
                </c:pt>
                <c:pt idx="16">
                  <c:v>0.79810348200534464</c:v>
                </c:pt>
                <c:pt idx="17">
                  <c:v>0.81731647594726542</c:v>
                </c:pt>
                <c:pt idx="18">
                  <c:v>0.83470111177841344</c:v>
                </c:pt>
                <c:pt idx="19">
                  <c:v>0.85043138077736491</c:v>
                </c:pt>
                <c:pt idx="20">
                  <c:v>0.8646647167633873</c:v>
                </c:pt>
                <c:pt idx="21">
                  <c:v>0.87754357174701814</c:v>
                </c:pt>
                <c:pt idx="22">
                  <c:v>0.8891968416376661</c:v>
                </c:pt>
                <c:pt idx="23">
                  <c:v>0.89974115627719631</c:v>
                </c:pt>
                <c:pt idx="24">
                  <c:v>0.90928204671058754</c:v>
                </c:pt>
                <c:pt idx="25">
                  <c:v>0.91791500137610116</c:v>
                </c:pt>
                <c:pt idx="26">
                  <c:v>0.92572642178566611</c:v>
                </c:pt>
                <c:pt idx="27">
                  <c:v>0.93279448726025027</c:v>
                </c:pt>
                <c:pt idx="28">
                  <c:v>0.93918993737478207</c:v>
                </c:pt>
                <c:pt idx="29">
                  <c:v>0.94497677994359275</c:v>
                </c:pt>
                <c:pt idx="30">
                  <c:v>0.95021293163213605</c:v>
                </c:pt>
                <c:pt idx="31">
                  <c:v>0.95495079760644219</c:v>
                </c:pt>
                <c:pt idx="32">
                  <c:v>0.95923779602163384</c:v>
                </c:pt>
                <c:pt idx="33">
                  <c:v>0.96311683259876002</c:v>
                </c:pt>
                <c:pt idx="34">
                  <c:v>0.96662673003967392</c:v>
                </c:pt>
                <c:pt idx="35">
                  <c:v>0.96980261657768152</c:v>
                </c:pt>
                <c:pt idx="36">
                  <c:v>0.97267627755270747</c:v>
                </c:pt>
                <c:pt idx="37">
                  <c:v>0.97527647352966063</c:v>
                </c:pt>
                <c:pt idx="38">
                  <c:v>0.97762922814383446</c:v>
                </c:pt>
                <c:pt idx="39">
                  <c:v>0.97975808855419566</c:v>
                </c:pt>
                <c:pt idx="40">
                  <c:v>0.98168436111126578</c:v>
                </c:pt>
                <c:pt idx="41">
                  <c:v>0.98342732459823878</c:v>
                </c:pt>
                <c:pt idx="42">
                  <c:v>0.9850044231795223</c:v>
                </c:pt>
                <c:pt idx="43">
                  <c:v>0.98643144098779911</c:v>
                </c:pt>
                <c:pt idx="44">
                  <c:v>0.98772266009693155</c:v>
                </c:pt>
                <c:pt idx="45">
                  <c:v>0.98889100346175773</c:v>
                </c:pt>
                <c:pt idx="46">
                  <c:v>0.98994816425536647</c:v>
                </c:pt>
                <c:pt idx="47">
                  <c:v>0.99090472289830422</c:v>
                </c:pt>
                <c:pt idx="48">
                  <c:v>0.99177025295097998</c:v>
                </c:pt>
                <c:pt idx="49">
                  <c:v>0.99255341692907562</c:v>
                </c:pt>
                <c:pt idx="50">
                  <c:v>0.99326205300091452</c:v>
                </c:pt>
                <c:pt idx="51">
                  <c:v>0.99390325343448438</c:v>
                </c:pt>
                <c:pt idx="52">
                  <c:v>0.99448343557923924</c:v>
                </c:pt>
                <c:pt idx="53">
                  <c:v>0.99500840609308983</c:v>
                </c:pt>
                <c:pt idx="54">
                  <c:v>0.99548341905738735</c:v>
                </c:pt>
                <c:pt idx="55">
                  <c:v>0.99591322856153597</c:v>
                </c:pt>
                <c:pt idx="56">
                  <c:v>0.99630213628351705</c:v>
                </c:pt>
                <c:pt idx="57">
                  <c:v>0.99665403454252877</c:v>
                </c:pt>
                <c:pt idx="58">
                  <c:v>0.99697244525462414</c:v>
                </c:pt>
                <c:pt idx="59">
                  <c:v>0.99726055518123158</c:v>
                </c:pt>
                <c:pt idx="60">
                  <c:v>0.99752124782333362</c:v>
                </c:pt>
                <c:pt idx="61">
                  <c:v>0.99775713228051421</c:v>
                </c:pt>
                <c:pt idx="62">
                  <c:v>0.99797056936370432</c:v>
                </c:pt>
                <c:pt idx="63">
                  <c:v>0.9981636952229711</c:v>
                </c:pt>
                <c:pt idx="64">
                  <c:v>0.99833844272682604</c:v>
                </c:pt>
                <c:pt idx="65">
                  <c:v>0.99849656080702243</c:v>
                </c:pt>
                <c:pt idx="66">
                  <c:v>0.99863963196245209</c:v>
                </c:pt>
                <c:pt idx="67">
                  <c:v>0.99876908809732656</c:v>
                </c:pt>
                <c:pt idx="68">
                  <c:v>0.99888622485215517</c:v>
                </c:pt>
                <c:pt idx="69">
                  <c:v>0.99899221457095144</c:v>
                </c:pt>
                <c:pt idx="70">
                  <c:v>0.99908811803444553</c:v>
                </c:pt>
                <c:pt idx="71">
                  <c:v>0.99917489507673407</c:v>
                </c:pt>
                <c:pt idx="72">
                  <c:v>0.99925341419162328</c:v>
                </c:pt>
                <c:pt idx="73">
                  <c:v>0.99932446122480612</c:v>
                </c:pt>
                <c:pt idx="74">
                  <c:v>0.99938874723887039</c:v>
                </c:pt>
                <c:pt idx="75">
                  <c:v>0.99944691562985222</c:v>
                </c:pt>
                <c:pt idx="76">
                  <c:v>0.99949954856655943</c:v>
                </c:pt>
                <c:pt idx="77">
                  <c:v>0.99954717281711325</c:v>
                </c:pt>
                <c:pt idx="78">
                  <c:v>0.99959026502102022</c:v>
                </c:pt>
                <c:pt idx="79">
                  <c:v>0.99962925645954093</c:v>
                </c:pt>
                <c:pt idx="80">
                  <c:v>0.99966453737209748</c:v>
                </c:pt>
                <c:pt idx="81">
                  <c:v>0.9996964608619211</c:v>
                </c:pt>
                <c:pt idx="82">
                  <c:v>0.99972534643002786</c:v>
                </c:pt>
                <c:pt idx="83">
                  <c:v>0.99975148317289209</c:v>
                </c:pt>
                <c:pt idx="84">
                  <c:v>0.99977513267582119</c:v>
                </c:pt>
                <c:pt idx="85">
                  <c:v>0.99979653163098936</c:v>
                </c:pt>
                <c:pt idx="86">
                  <c:v>0.99981589420633243</c:v>
                </c:pt>
                <c:pt idx="87">
                  <c:v>0.99983341418901239</c:v>
                </c:pt>
                <c:pt idx="88">
                  <c:v>0.9998492669249045</c:v>
                </c:pt>
                <c:pt idx="89">
                  <c:v>0.99986361107351795</c:v>
                </c:pt>
                <c:pt idx="90">
                  <c:v>0.99987659019591335</c:v>
                </c:pt>
                <c:pt idx="91">
                  <c:v>0.99988833419150991</c:v>
                </c:pt>
                <c:pt idx="92">
                  <c:v>0.99989896059816286</c:v>
                </c:pt>
                <c:pt idx="93">
                  <c:v>0.99990857576852188</c:v>
                </c:pt>
                <c:pt idx="94">
                  <c:v>0.99991727593444335</c:v>
                </c:pt>
                <c:pt idx="95">
                  <c:v>0.99992514817011235</c:v>
                </c:pt>
                <c:pt idx="96">
                  <c:v>0.99993227126350914</c:v>
                </c:pt>
                <c:pt idx="97">
                  <c:v>0.99993871650494681</c:v>
                </c:pt>
                <c:pt idx="98">
                  <c:v>0.99994454840056779</c:v>
                </c:pt>
                <c:pt idx="99">
                  <c:v>0.99994982531794385</c:v>
                </c:pt>
                <c:pt idx="100">
                  <c:v>0.99995460007023751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1-4128-BE40-1BCEB4DD1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指数分布!$B$15:$B$115</c:f>
              <c:numCache>
                <c:formatCode>0.000000000%</c:formatCode>
                <c:ptCount val="101"/>
                <c:pt idx="0">
                  <c:v>0.1</c:v>
                </c:pt>
                <c:pt idx="1">
                  <c:v>9.048374180359596E-2</c:v>
                </c:pt>
                <c:pt idx="2">
                  <c:v>8.1873075307798193E-2</c:v>
                </c:pt>
                <c:pt idx="3">
                  <c:v>7.4081822068171793E-2</c:v>
                </c:pt>
                <c:pt idx="4">
                  <c:v>6.7032004603563941E-2</c:v>
                </c:pt>
                <c:pt idx="5">
                  <c:v>6.0653065971263347E-2</c:v>
                </c:pt>
                <c:pt idx="6">
                  <c:v>5.4881163609402643E-2</c:v>
                </c:pt>
                <c:pt idx="7">
                  <c:v>4.9658530379140947E-2</c:v>
                </c:pt>
                <c:pt idx="8">
                  <c:v>4.4932896411722156E-2</c:v>
                </c:pt>
                <c:pt idx="9">
                  <c:v>4.0656965974059912E-2</c:v>
                </c:pt>
                <c:pt idx="10">
                  <c:v>3.6787944117144235E-2</c:v>
                </c:pt>
                <c:pt idx="11">
                  <c:v>3.3287108369807958E-2</c:v>
                </c:pt>
                <c:pt idx="12">
                  <c:v>3.0119421191220203E-2</c:v>
                </c:pt>
                <c:pt idx="13">
                  <c:v>2.7253179303401261E-2</c:v>
                </c:pt>
                <c:pt idx="14">
                  <c:v>2.4659696394160643E-2</c:v>
                </c:pt>
                <c:pt idx="15">
                  <c:v>2.2313016014842982E-2</c:v>
                </c:pt>
                <c:pt idx="16">
                  <c:v>2.0189651799465538E-2</c:v>
                </c:pt>
                <c:pt idx="17">
                  <c:v>1.8268352405273462E-2</c:v>
                </c:pt>
                <c:pt idx="18">
                  <c:v>1.6529888822158653E-2</c:v>
                </c:pt>
                <c:pt idx="19">
                  <c:v>1.4956861922263504E-2</c:v>
                </c:pt>
                <c:pt idx="20">
                  <c:v>1.3533528323661271E-2</c:v>
                </c:pt>
                <c:pt idx="21">
                  <c:v>1.2245642825298192E-2</c:v>
                </c:pt>
                <c:pt idx="22">
                  <c:v>1.1080315836233388E-2</c:v>
                </c:pt>
                <c:pt idx="23">
                  <c:v>1.0025884372280372E-2</c:v>
                </c:pt>
                <c:pt idx="24">
                  <c:v>9.0717953289412481E-3</c:v>
                </c:pt>
                <c:pt idx="25">
                  <c:v>8.208499862389881E-3</c:v>
                </c:pt>
                <c:pt idx="26">
                  <c:v>7.4273578214333882E-3</c:v>
                </c:pt>
                <c:pt idx="27">
                  <c:v>6.7205512739749763E-3</c:v>
                </c:pt>
                <c:pt idx="28">
                  <c:v>6.0810062625217959E-3</c:v>
                </c:pt>
                <c:pt idx="29">
                  <c:v>5.502322005640721E-3</c:v>
                </c:pt>
                <c:pt idx="30">
                  <c:v>4.9787068367863948E-3</c:v>
                </c:pt>
                <c:pt idx="31">
                  <c:v>4.5049202393557799E-3</c:v>
                </c:pt>
                <c:pt idx="32">
                  <c:v>4.0762203978366215E-3</c:v>
                </c:pt>
                <c:pt idx="33">
                  <c:v>3.6883167401239995E-3</c:v>
                </c:pt>
                <c:pt idx="34">
                  <c:v>3.3373269960326069E-3</c:v>
                </c:pt>
                <c:pt idx="35">
                  <c:v>3.0197383422318502E-3</c:v>
                </c:pt>
                <c:pt idx="36">
                  <c:v>2.7323722447292562E-3</c:v>
                </c:pt>
                <c:pt idx="37">
                  <c:v>2.4723526470339392E-3</c:v>
                </c:pt>
                <c:pt idx="38">
                  <c:v>2.2370771856165591E-3</c:v>
                </c:pt>
                <c:pt idx="39">
                  <c:v>2.0241911445804382E-3</c:v>
                </c:pt>
                <c:pt idx="40">
                  <c:v>1.831563888873418E-3</c:v>
                </c:pt>
                <c:pt idx="41">
                  <c:v>1.6572675401761239E-3</c:v>
                </c:pt>
                <c:pt idx="42">
                  <c:v>1.4995576820477704E-3</c:v>
                </c:pt>
                <c:pt idx="43">
                  <c:v>1.3568559012200935E-3</c:v>
                </c:pt>
                <c:pt idx="44">
                  <c:v>1.2277339903068436E-3</c:v>
                </c:pt>
                <c:pt idx="45">
                  <c:v>1.1108996538242307E-3</c:v>
                </c:pt>
                <c:pt idx="46">
                  <c:v>1.0051835744633575E-3</c:v>
                </c:pt>
                <c:pt idx="47">
                  <c:v>9.095277101695816E-4</c:v>
                </c:pt>
                <c:pt idx="48">
                  <c:v>8.2297470490200241E-4</c:v>
                </c:pt>
                <c:pt idx="49">
                  <c:v>7.4465830709243388E-4</c:v>
                </c:pt>
                <c:pt idx="50">
                  <c:v>6.7379469990854672E-4</c:v>
                </c:pt>
                <c:pt idx="51">
                  <c:v>6.0967465655156327E-4</c:v>
                </c:pt>
                <c:pt idx="52">
                  <c:v>5.5165644207607722E-4</c:v>
                </c:pt>
                <c:pt idx="53">
                  <c:v>4.9915939069102131E-4</c:v>
                </c:pt>
                <c:pt idx="54">
                  <c:v>4.5165809426126662E-4</c:v>
                </c:pt>
                <c:pt idx="55">
                  <c:v>4.0867714384640666E-4</c:v>
                </c:pt>
                <c:pt idx="56">
                  <c:v>3.6978637164829291E-4</c:v>
                </c:pt>
                <c:pt idx="57">
                  <c:v>3.3459654574712722E-4</c:v>
                </c:pt>
                <c:pt idx="58">
                  <c:v>3.0275547453758131E-4</c:v>
                </c:pt>
                <c:pt idx="59">
                  <c:v>2.7394448187683686E-4</c:v>
                </c:pt>
                <c:pt idx="60">
                  <c:v>2.4787521766663585E-4</c:v>
                </c:pt>
                <c:pt idx="61">
                  <c:v>2.2428677194858012E-4</c:v>
                </c:pt>
                <c:pt idx="62">
                  <c:v>2.0294306362957342E-4</c:v>
                </c:pt>
                <c:pt idx="63">
                  <c:v>1.8363047770289057E-4</c:v>
                </c:pt>
                <c:pt idx="64">
                  <c:v>1.661557273173934E-4</c:v>
                </c:pt>
                <c:pt idx="65">
                  <c:v>1.5034391929775724E-4</c:v>
                </c:pt>
                <c:pt idx="66">
                  <c:v>1.3603680375478928E-4</c:v>
                </c:pt>
                <c:pt idx="67">
                  <c:v>1.2309119026734811E-4</c:v>
                </c:pt>
                <c:pt idx="68">
                  <c:v>1.1137751478448025E-4</c:v>
                </c:pt>
                <c:pt idx="69">
                  <c:v>1.0077854290485106E-4</c:v>
                </c:pt>
                <c:pt idx="70">
                  <c:v>9.1188196555451624E-5</c:v>
                </c:pt>
                <c:pt idx="71">
                  <c:v>8.2510492326590392E-5</c:v>
                </c:pt>
                <c:pt idx="72">
                  <c:v>7.4658580837667923E-5</c:v>
                </c:pt>
                <c:pt idx="73">
                  <c:v>6.7553877519384382E-5</c:v>
                </c:pt>
                <c:pt idx="74">
                  <c:v>6.1125276112957227E-5</c:v>
                </c:pt>
                <c:pt idx="75">
                  <c:v>5.5308437014783363E-5</c:v>
                </c:pt>
                <c:pt idx="76">
                  <c:v>5.004514334406104E-5</c:v>
                </c:pt>
                <c:pt idx="77">
                  <c:v>4.5282718288679699E-5</c:v>
                </c:pt>
                <c:pt idx="78">
                  <c:v>4.0973497897978647E-5</c:v>
                </c:pt>
                <c:pt idx="79">
                  <c:v>3.7074354045908826E-5</c:v>
                </c:pt>
                <c:pt idx="80">
                  <c:v>3.3546262790251189E-5</c:v>
                </c:pt>
                <c:pt idx="81">
                  <c:v>3.0353913807886679E-5</c:v>
                </c:pt>
                <c:pt idx="82">
                  <c:v>2.7465356997214206E-5</c:v>
                </c:pt>
                <c:pt idx="83">
                  <c:v>2.4851682710795188E-5</c:v>
                </c:pt>
                <c:pt idx="84">
                  <c:v>2.2486732417884819E-5</c:v>
                </c:pt>
                <c:pt idx="85">
                  <c:v>2.0346836901064418E-5</c:v>
                </c:pt>
                <c:pt idx="86">
                  <c:v>1.8410579366757919E-5</c:v>
                </c:pt>
                <c:pt idx="87">
                  <c:v>1.6658581098763325E-5</c:v>
                </c:pt>
                <c:pt idx="88">
                  <c:v>1.5073307509547651E-5</c:v>
                </c:pt>
                <c:pt idx="89">
                  <c:v>1.363889264820114E-5</c:v>
                </c:pt>
                <c:pt idx="90">
                  <c:v>1.2340980408667957E-5</c:v>
                </c:pt>
                <c:pt idx="91">
                  <c:v>1.1166580849011478E-5</c:v>
                </c:pt>
                <c:pt idx="92">
                  <c:v>1.0103940183709325E-5</c:v>
                </c:pt>
                <c:pt idx="93">
                  <c:v>9.1424231478173276E-6</c:v>
                </c:pt>
                <c:pt idx="94">
                  <c:v>8.2724065556632225E-6</c:v>
                </c:pt>
                <c:pt idx="95">
                  <c:v>7.4851829887700601E-6</c:v>
                </c:pt>
                <c:pt idx="96">
                  <c:v>6.772873649085378E-6</c:v>
                </c:pt>
                <c:pt idx="97">
                  <c:v>6.1283495053222026E-6</c:v>
                </c:pt>
                <c:pt idx="98">
                  <c:v>5.545159943217695E-6</c:v>
                </c:pt>
                <c:pt idx="99">
                  <c:v>5.0174682056175289E-6</c:v>
                </c:pt>
                <c:pt idx="100">
                  <c:v>4.5399929762484852E-6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1-4DD3-9877-DDA9BC5D7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Γ分布!$C$15:$C$115</c:f>
              <c:numCache>
                <c:formatCode>0.000000000%</c:formatCode>
                <c:ptCount val="101"/>
                <c:pt idx="0">
                  <c:v>0</c:v>
                </c:pt>
                <c:pt idx="1">
                  <c:v>9.5162581964040427E-2</c:v>
                </c:pt>
                <c:pt idx="2">
                  <c:v>0.18126924692201815</c:v>
                </c:pt>
                <c:pt idx="3">
                  <c:v>0.25918177931828212</c:v>
                </c:pt>
                <c:pt idx="4">
                  <c:v>0.32967995396436073</c:v>
                </c:pt>
                <c:pt idx="5">
                  <c:v>0.39346934028736658</c:v>
                </c:pt>
                <c:pt idx="6">
                  <c:v>0.4511883639059735</c:v>
                </c:pt>
                <c:pt idx="7">
                  <c:v>0.50341469620859047</c:v>
                </c:pt>
                <c:pt idx="8">
                  <c:v>0.55067103588277844</c:v>
                </c:pt>
                <c:pt idx="9">
                  <c:v>0.59343034025940089</c:v>
                </c:pt>
                <c:pt idx="10">
                  <c:v>0.63212055882855767</c:v>
                </c:pt>
                <c:pt idx="11">
                  <c:v>0.6671289163019205</c:v>
                </c:pt>
                <c:pt idx="12">
                  <c:v>0.69880578808779781</c:v>
                </c:pt>
                <c:pt idx="13">
                  <c:v>0.72746820696598746</c:v>
                </c:pt>
                <c:pt idx="14">
                  <c:v>0.75340303605839354</c:v>
                </c:pt>
                <c:pt idx="15">
                  <c:v>0.77686983985157021</c:v>
                </c:pt>
                <c:pt idx="16">
                  <c:v>0.79810348200534464</c:v>
                </c:pt>
                <c:pt idx="17">
                  <c:v>0.81731647594726531</c:v>
                </c:pt>
                <c:pt idx="18">
                  <c:v>0.83470111177841344</c:v>
                </c:pt>
                <c:pt idx="19">
                  <c:v>0.85043138077736491</c:v>
                </c:pt>
                <c:pt idx="20">
                  <c:v>0.8646647167633873</c:v>
                </c:pt>
                <c:pt idx="21">
                  <c:v>0.87754357174701814</c:v>
                </c:pt>
                <c:pt idx="22">
                  <c:v>0.8891968416376661</c:v>
                </c:pt>
                <c:pt idx="23">
                  <c:v>0.8997411562771962</c:v>
                </c:pt>
                <c:pt idx="24">
                  <c:v>0.90928204671058754</c:v>
                </c:pt>
                <c:pt idx="25">
                  <c:v>0.91791500137610116</c:v>
                </c:pt>
                <c:pt idx="26">
                  <c:v>0.92572642178566611</c:v>
                </c:pt>
                <c:pt idx="27">
                  <c:v>0.93279448726025027</c:v>
                </c:pt>
                <c:pt idx="28">
                  <c:v>0.93918993737478207</c:v>
                </c:pt>
                <c:pt idx="29">
                  <c:v>0.94497677994359275</c:v>
                </c:pt>
                <c:pt idx="30">
                  <c:v>0.95021293163213605</c:v>
                </c:pt>
                <c:pt idx="31">
                  <c:v>0.95495079760644219</c:v>
                </c:pt>
                <c:pt idx="32">
                  <c:v>0.95923779602163384</c:v>
                </c:pt>
                <c:pt idx="33">
                  <c:v>0.96311683259876002</c:v>
                </c:pt>
                <c:pt idx="34">
                  <c:v>0.96662673003967392</c:v>
                </c:pt>
                <c:pt idx="35">
                  <c:v>0.96980261657768152</c:v>
                </c:pt>
                <c:pt idx="36">
                  <c:v>0.97267627755270747</c:v>
                </c:pt>
                <c:pt idx="37">
                  <c:v>0.97527647352966063</c:v>
                </c:pt>
                <c:pt idx="38">
                  <c:v>0.97762922814383435</c:v>
                </c:pt>
                <c:pt idx="39">
                  <c:v>0.97975808855419566</c:v>
                </c:pt>
                <c:pt idx="40">
                  <c:v>0.98168436111126578</c:v>
                </c:pt>
                <c:pt idx="41">
                  <c:v>0.98342732459823878</c:v>
                </c:pt>
                <c:pt idx="42">
                  <c:v>0.9850044231795223</c:v>
                </c:pt>
                <c:pt idx="43">
                  <c:v>0.98643144098779911</c:v>
                </c:pt>
                <c:pt idx="44">
                  <c:v>0.98772266009693155</c:v>
                </c:pt>
                <c:pt idx="45">
                  <c:v>0.98889100346175773</c:v>
                </c:pt>
                <c:pt idx="46">
                  <c:v>0.98994816425536647</c:v>
                </c:pt>
                <c:pt idx="47">
                  <c:v>0.99090472289830422</c:v>
                </c:pt>
                <c:pt idx="48">
                  <c:v>0.99177025295097998</c:v>
                </c:pt>
                <c:pt idx="49">
                  <c:v>0.99255341692907562</c:v>
                </c:pt>
                <c:pt idx="50">
                  <c:v>0.99326205300091452</c:v>
                </c:pt>
                <c:pt idx="51">
                  <c:v>0.99390325343448438</c:v>
                </c:pt>
                <c:pt idx="52">
                  <c:v>0.99448343557923924</c:v>
                </c:pt>
                <c:pt idx="53">
                  <c:v>0.99500840609308983</c:v>
                </c:pt>
                <c:pt idx="54">
                  <c:v>0.99548341905738735</c:v>
                </c:pt>
                <c:pt idx="55">
                  <c:v>0.99591322856153597</c:v>
                </c:pt>
                <c:pt idx="56">
                  <c:v>0.99630213628351705</c:v>
                </c:pt>
                <c:pt idx="57">
                  <c:v>0.99665403454252877</c:v>
                </c:pt>
                <c:pt idx="58">
                  <c:v>0.99697244525462414</c:v>
                </c:pt>
                <c:pt idx="59">
                  <c:v>0.99726055518123158</c:v>
                </c:pt>
                <c:pt idx="60">
                  <c:v>0.99752124782333362</c:v>
                </c:pt>
                <c:pt idx="61">
                  <c:v>0.99775713228051421</c:v>
                </c:pt>
                <c:pt idx="62">
                  <c:v>0.99797056936370432</c:v>
                </c:pt>
                <c:pt idx="63">
                  <c:v>0.9981636952229711</c:v>
                </c:pt>
                <c:pt idx="64">
                  <c:v>0.99833844272682604</c:v>
                </c:pt>
                <c:pt idx="65">
                  <c:v>0.99849656080702243</c:v>
                </c:pt>
                <c:pt idx="66">
                  <c:v>0.99863963196245209</c:v>
                </c:pt>
                <c:pt idx="67">
                  <c:v>0.99876908809732656</c:v>
                </c:pt>
                <c:pt idx="68">
                  <c:v>0.99888622485215517</c:v>
                </c:pt>
                <c:pt idx="69">
                  <c:v>0.99899221457095144</c:v>
                </c:pt>
                <c:pt idx="70">
                  <c:v>0.99908811803444553</c:v>
                </c:pt>
                <c:pt idx="71">
                  <c:v>0.99917489507673407</c:v>
                </c:pt>
                <c:pt idx="72">
                  <c:v>0.99925341419162328</c:v>
                </c:pt>
                <c:pt idx="73">
                  <c:v>0.99932446122480612</c:v>
                </c:pt>
                <c:pt idx="74">
                  <c:v>0.99938874723887039</c:v>
                </c:pt>
                <c:pt idx="75">
                  <c:v>0.99944691562985222</c:v>
                </c:pt>
                <c:pt idx="76">
                  <c:v>0.99949954856655943</c:v>
                </c:pt>
                <c:pt idx="77">
                  <c:v>0.99954717281711325</c:v>
                </c:pt>
                <c:pt idx="78">
                  <c:v>0.99959026502102022</c:v>
                </c:pt>
                <c:pt idx="79">
                  <c:v>0.99962925645954093</c:v>
                </c:pt>
                <c:pt idx="80">
                  <c:v>0.99966453737209748</c:v>
                </c:pt>
                <c:pt idx="81">
                  <c:v>0.9996964608619211</c:v>
                </c:pt>
                <c:pt idx="82">
                  <c:v>0.99972534643002786</c:v>
                </c:pt>
                <c:pt idx="83">
                  <c:v>0.99975148317289209</c:v>
                </c:pt>
                <c:pt idx="84">
                  <c:v>0.99977513267582119</c:v>
                </c:pt>
                <c:pt idx="85">
                  <c:v>0.99979653163098936</c:v>
                </c:pt>
                <c:pt idx="86">
                  <c:v>0.99981589420633243</c:v>
                </c:pt>
                <c:pt idx="87">
                  <c:v>0.99983341418901239</c:v>
                </c:pt>
                <c:pt idx="88">
                  <c:v>0.9998492669249045</c:v>
                </c:pt>
                <c:pt idx="89">
                  <c:v>0.99986361107351795</c:v>
                </c:pt>
                <c:pt idx="90">
                  <c:v>0.99987659019591335</c:v>
                </c:pt>
                <c:pt idx="91">
                  <c:v>0.99988833419150991</c:v>
                </c:pt>
                <c:pt idx="92">
                  <c:v>0.99989896059816286</c:v>
                </c:pt>
                <c:pt idx="93">
                  <c:v>0.99990857576852188</c:v>
                </c:pt>
                <c:pt idx="94">
                  <c:v>0.99991727593444335</c:v>
                </c:pt>
                <c:pt idx="95">
                  <c:v>0.99992514817011235</c:v>
                </c:pt>
                <c:pt idx="96">
                  <c:v>0.99993227126350914</c:v>
                </c:pt>
                <c:pt idx="97">
                  <c:v>0.99993871650494681</c:v>
                </c:pt>
                <c:pt idx="98">
                  <c:v>0.99994454840056779</c:v>
                </c:pt>
                <c:pt idx="99">
                  <c:v>0.99994982531794385</c:v>
                </c:pt>
                <c:pt idx="100">
                  <c:v>0.99995460007023751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D-40E6-8B20-C1D7DBFD5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Γ分布!$B$15:$B$115</c:f>
              <c:numCache>
                <c:formatCode>0.000000000%</c:formatCode>
                <c:ptCount val="101"/>
                <c:pt idx="0">
                  <c:v>0</c:v>
                </c:pt>
                <c:pt idx="1">
                  <c:v>9.0483741803595974E-2</c:v>
                </c:pt>
                <c:pt idx="2">
                  <c:v>8.1873075307798193E-2</c:v>
                </c:pt>
                <c:pt idx="3">
                  <c:v>7.4081822068171765E-2</c:v>
                </c:pt>
                <c:pt idx="4">
                  <c:v>6.7032004603563927E-2</c:v>
                </c:pt>
                <c:pt idx="5">
                  <c:v>6.0653065971263347E-2</c:v>
                </c:pt>
                <c:pt idx="6">
                  <c:v>5.4881163609402636E-2</c:v>
                </c:pt>
                <c:pt idx="7">
                  <c:v>4.9658530379140947E-2</c:v>
                </c:pt>
                <c:pt idx="8">
                  <c:v>4.4932896411722156E-2</c:v>
                </c:pt>
                <c:pt idx="9">
                  <c:v>4.0656965974059912E-2</c:v>
                </c:pt>
                <c:pt idx="10">
                  <c:v>3.6787944117144235E-2</c:v>
                </c:pt>
                <c:pt idx="11">
                  <c:v>3.3287108369807958E-2</c:v>
                </c:pt>
                <c:pt idx="12">
                  <c:v>3.0119421191220207E-2</c:v>
                </c:pt>
                <c:pt idx="13">
                  <c:v>2.7253179303401261E-2</c:v>
                </c:pt>
                <c:pt idx="14">
                  <c:v>2.4659696394160647E-2</c:v>
                </c:pt>
                <c:pt idx="15">
                  <c:v>2.2313016014842982E-2</c:v>
                </c:pt>
                <c:pt idx="16">
                  <c:v>2.0189651799465542E-2</c:v>
                </c:pt>
                <c:pt idx="17">
                  <c:v>1.8268352405273462E-2</c:v>
                </c:pt>
                <c:pt idx="18">
                  <c:v>1.6529888822158653E-2</c:v>
                </c:pt>
                <c:pt idx="19">
                  <c:v>1.4956861922263504E-2</c:v>
                </c:pt>
                <c:pt idx="20">
                  <c:v>1.3533528323661267E-2</c:v>
                </c:pt>
                <c:pt idx="21">
                  <c:v>1.224564282529819E-2</c:v>
                </c:pt>
                <c:pt idx="22">
                  <c:v>1.1080315836233387E-2</c:v>
                </c:pt>
                <c:pt idx="23">
                  <c:v>1.0025884372280372E-2</c:v>
                </c:pt>
                <c:pt idx="24">
                  <c:v>9.0717953289412498E-3</c:v>
                </c:pt>
                <c:pt idx="25">
                  <c:v>8.2084998623898793E-3</c:v>
                </c:pt>
                <c:pt idx="26">
                  <c:v>7.4273578214333873E-3</c:v>
                </c:pt>
                <c:pt idx="27">
                  <c:v>6.7205512739749755E-3</c:v>
                </c:pt>
                <c:pt idx="28">
                  <c:v>6.0810062625217967E-3</c:v>
                </c:pt>
                <c:pt idx="29">
                  <c:v>5.5023220056407227E-3</c:v>
                </c:pt>
                <c:pt idx="30">
                  <c:v>4.9787068367863948E-3</c:v>
                </c:pt>
                <c:pt idx="31">
                  <c:v>4.5049202393557808E-3</c:v>
                </c:pt>
                <c:pt idx="32">
                  <c:v>4.0762203978366206E-3</c:v>
                </c:pt>
                <c:pt idx="33">
                  <c:v>3.6883167401240012E-3</c:v>
                </c:pt>
                <c:pt idx="34">
                  <c:v>3.3373269960326078E-3</c:v>
                </c:pt>
                <c:pt idx="35">
                  <c:v>3.0197383422318502E-3</c:v>
                </c:pt>
                <c:pt idx="36">
                  <c:v>2.7323722447292549E-3</c:v>
                </c:pt>
                <c:pt idx="37">
                  <c:v>2.4723526470339392E-3</c:v>
                </c:pt>
                <c:pt idx="38">
                  <c:v>2.2370771856165595E-3</c:v>
                </c:pt>
                <c:pt idx="39">
                  <c:v>2.0241911445804386E-3</c:v>
                </c:pt>
                <c:pt idx="40">
                  <c:v>1.831563888873418E-3</c:v>
                </c:pt>
                <c:pt idx="41">
                  <c:v>1.6572675401761252E-3</c:v>
                </c:pt>
                <c:pt idx="42">
                  <c:v>1.4995576820477706E-3</c:v>
                </c:pt>
                <c:pt idx="43">
                  <c:v>1.3568559012200933E-3</c:v>
                </c:pt>
                <c:pt idx="44">
                  <c:v>1.2277339903068439E-3</c:v>
                </c:pt>
                <c:pt idx="45">
                  <c:v>1.1108996538242309E-3</c:v>
                </c:pt>
                <c:pt idx="46">
                  <c:v>1.0051835744633584E-3</c:v>
                </c:pt>
                <c:pt idx="47">
                  <c:v>9.095277101695816E-4</c:v>
                </c:pt>
                <c:pt idx="48">
                  <c:v>8.2297470490200295E-4</c:v>
                </c:pt>
                <c:pt idx="49">
                  <c:v>7.4465830709243388E-4</c:v>
                </c:pt>
                <c:pt idx="50">
                  <c:v>6.7379469990854661E-4</c:v>
                </c:pt>
                <c:pt idx="51">
                  <c:v>6.0967465655156381E-4</c:v>
                </c:pt>
                <c:pt idx="52">
                  <c:v>5.5165644207607711E-4</c:v>
                </c:pt>
                <c:pt idx="53">
                  <c:v>4.9915939069102163E-4</c:v>
                </c:pt>
                <c:pt idx="54">
                  <c:v>4.5165809426126667E-4</c:v>
                </c:pt>
                <c:pt idx="55">
                  <c:v>4.0867714384640671E-4</c:v>
                </c:pt>
                <c:pt idx="56">
                  <c:v>3.6978637164829318E-4</c:v>
                </c:pt>
                <c:pt idx="57">
                  <c:v>3.3459654574712722E-4</c:v>
                </c:pt>
                <c:pt idx="58">
                  <c:v>3.0275547453758158E-4</c:v>
                </c:pt>
                <c:pt idx="59">
                  <c:v>2.7394448187683681E-4</c:v>
                </c:pt>
                <c:pt idx="60">
                  <c:v>2.4787521766663585E-4</c:v>
                </c:pt>
                <c:pt idx="61">
                  <c:v>2.2428677194858031E-4</c:v>
                </c:pt>
                <c:pt idx="62">
                  <c:v>2.0294306362957345E-4</c:v>
                </c:pt>
                <c:pt idx="63">
                  <c:v>1.8363047770289067E-4</c:v>
                </c:pt>
                <c:pt idx="64">
                  <c:v>1.661557273173934E-4</c:v>
                </c:pt>
                <c:pt idx="65">
                  <c:v>1.5034391929775724E-4</c:v>
                </c:pt>
                <c:pt idx="66">
                  <c:v>1.3603680375478939E-4</c:v>
                </c:pt>
                <c:pt idx="67">
                  <c:v>1.2309119026734811E-4</c:v>
                </c:pt>
                <c:pt idx="68">
                  <c:v>1.1137751478448033E-4</c:v>
                </c:pt>
                <c:pt idx="69">
                  <c:v>1.0077854290485104E-4</c:v>
                </c:pt>
                <c:pt idx="70">
                  <c:v>9.1188196555451611E-5</c:v>
                </c:pt>
                <c:pt idx="71">
                  <c:v>8.251049232659046E-5</c:v>
                </c:pt>
                <c:pt idx="72">
                  <c:v>7.4658580837667923E-5</c:v>
                </c:pt>
                <c:pt idx="73">
                  <c:v>6.7553877519384436E-5</c:v>
                </c:pt>
                <c:pt idx="74">
                  <c:v>6.1125276112957254E-5</c:v>
                </c:pt>
                <c:pt idx="75">
                  <c:v>5.5308437014783356E-5</c:v>
                </c:pt>
                <c:pt idx="76">
                  <c:v>5.0045143344061074E-5</c:v>
                </c:pt>
                <c:pt idx="77">
                  <c:v>4.5282718288679699E-5</c:v>
                </c:pt>
                <c:pt idx="78">
                  <c:v>4.0973497897978688E-5</c:v>
                </c:pt>
                <c:pt idx="79">
                  <c:v>3.7074354045908833E-5</c:v>
                </c:pt>
                <c:pt idx="80">
                  <c:v>3.3546262790251176E-5</c:v>
                </c:pt>
                <c:pt idx="81">
                  <c:v>3.0353913807886679E-5</c:v>
                </c:pt>
                <c:pt idx="82">
                  <c:v>2.7465356997214256E-5</c:v>
                </c:pt>
                <c:pt idx="83">
                  <c:v>2.4851682710795188E-5</c:v>
                </c:pt>
                <c:pt idx="84">
                  <c:v>2.2486732417884816E-5</c:v>
                </c:pt>
                <c:pt idx="85">
                  <c:v>2.0346836901064415E-5</c:v>
                </c:pt>
                <c:pt idx="86">
                  <c:v>1.8410579366757916E-5</c:v>
                </c:pt>
                <c:pt idx="87">
                  <c:v>1.6658581098763349E-5</c:v>
                </c:pt>
                <c:pt idx="88">
                  <c:v>1.5073307509547651E-5</c:v>
                </c:pt>
                <c:pt idx="89">
                  <c:v>1.363889264820114E-5</c:v>
                </c:pt>
                <c:pt idx="90">
                  <c:v>1.2340980408667958E-5</c:v>
                </c:pt>
                <c:pt idx="91">
                  <c:v>1.1166580849011478E-5</c:v>
                </c:pt>
                <c:pt idx="92">
                  <c:v>1.0103940183709342E-5</c:v>
                </c:pt>
                <c:pt idx="93">
                  <c:v>9.1424231478173293E-6</c:v>
                </c:pt>
                <c:pt idx="94">
                  <c:v>8.2724065556632242E-6</c:v>
                </c:pt>
                <c:pt idx="95">
                  <c:v>7.4851829887700601E-6</c:v>
                </c:pt>
                <c:pt idx="96">
                  <c:v>6.7728736490853898E-6</c:v>
                </c:pt>
                <c:pt idx="97">
                  <c:v>6.1283495053222119E-6</c:v>
                </c:pt>
                <c:pt idx="98">
                  <c:v>5.545159943217695E-6</c:v>
                </c:pt>
                <c:pt idx="99">
                  <c:v>5.0174682056175298E-6</c:v>
                </c:pt>
                <c:pt idx="100">
                  <c:v>4.5399929762484861E-6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2-426A-A7E9-F0C445CF4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β分布!$C$15:$C$115</c:f>
              <c:numCache>
                <c:formatCode>0.000000000%</c:formatCode>
                <c:ptCount val="101"/>
                <c:pt idx="0">
                  <c:v>0</c:v>
                </c:pt>
                <c:pt idx="1">
                  <c:v>2.9800000000000025E-4</c:v>
                </c:pt>
                <c:pt idx="2">
                  <c:v>1.1840000000000004E-3</c:v>
                </c:pt>
                <c:pt idx="3">
                  <c:v>2.6459999999999995E-3</c:v>
                </c:pt>
                <c:pt idx="4">
                  <c:v>4.6720000000000025E-3</c:v>
                </c:pt>
                <c:pt idx="5">
                  <c:v>7.2500000000000012E-3</c:v>
                </c:pt>
                <c:pt idx="6">
                  <c:v>1.0367999999999999E-2</c:v>
                </c:pt>
                <c:pt idx="7">
                  <c:v>1.4014000000000006E-2</c:v>
                </c:pt>
                <c:pt idx="8">
                  <c:v>1.8175999999999991E-2</c:v>
                </c:pt>
                <c:pt idx="9">
                  <c:v>2.2841999999999987E-2</c:v>
                </c:pt>
                <c:pt idx="10">
                  <c:v>2.8000000000000011E-2</c:v>
                </c:pt>
                <c:pt idx="11">
                  <c:v>3.3638000000000001E-2</c:v>
                </c:pt>
                <c:pt idx="12">
                  <c:v>3.9744000000000002E-2</c:v>
                </c:pt>
                <c:pt idx="13">
                  <c:v>4.6306E-2</c:v>
                </c:pt>
                <c:pt idx="14">
                  <c:v>5.3311999999999998E-2</c:v>
                </c:pt>
                <c:pt idx="15">
                  <c:v>6.0750000000000005E-2</c:v>
                </c:pt>
                <c:pt idx="16">
                  <c:v>6.8607999999999975E-2</c:v>
                </c:pt>
                <c:pt idx="17">
                  <c:v>7.6874000000000012E-2</c:v>
                </c:pt>
                <c:pt idx="18">
                  <c:v>8.5536000000000015E-2</c:v>
                </c:pt>
                <c:pt idx="19">
                  <c:v>9.4581999999999999E-2</c:v>
                </c:pt>
                <c:pt idx="20">
                  <c:v>0.10400000000000002</c:v>
                </c:pt>
                <c:pt idx="21">
                  <c:v>0.113778</c:v>
                </c:pt>
                <c:pt idx="22">
                  <c:v>0.12390399999999999</c:v>
                </c:pt>
                <c:pt idx="23">
                  <c:v>0.13436599999999999</c:v>
                </c:pt>
                <c:pt idx="24">
                  <c:v>0.14515199999999995</c:v>
                </c:pt>
                <c:pt idx="25">
                  <c:v>0.15625</c:v>
                </c:pt>
                <c:pt idx="26">
                  <c:v>0.16764800000000002</c:v>
                </c:pt>
                <c:pt idx="27">
                  <c:v>0.17933399999999999</c:v>
                </c:pt>
                <c:pt idx="28">
                  <c:v>0.19129600000000005</c:v>
                </c:pt>
                <c:pt idx="29">
                  <c:v>0.20352199999999993</c:v>
                </c:pt>
                <c:pt idx="30">
                  <c:v>0.21599999999999994</c:v>
                </c:pt>
                <c:pt idx="31">
                  <c:v>0.228718</c:v>
                </c:pt>
                <c:pt idx="32">
                  <c:v>0.24166399999999996</c:v>
                </c:pt>
                <c:pt idx="33">
                  <c:v>0.254826</c:v>
                </c:pt>
                <c:pt idx="34">
                  <c:v>0.2681920000000001</c:v>
                </c:pt>
                <c:pt idx="35">
                  <c:v>0.28174999999999994</c:v>
                </c:pt>
                <c:pt idx="36">
                  <c:v>0.29548799999999997</c:v>
                </c:pt>
                <c:pt idx="37">
                  <c:v>0.309394</c:v>
                </c:pt>
                <c:pt idx="38">
                  <c:v>0.32345599999999997</c:v>
                </c:pt>
                <c:pt idx="39">
                  <c:v>0.33766200000000002</c:v>
                </c:pt>
                <c:pt idx="40">
                  <c:v>0.35199999999999998</c:v>
                </c:pt>
                <c:pt idx="41">
                  <c:v>0.36645799999999995</c:v>
                </c:pt>
                <c:pt idx="42">
                  <c:v>0.38102399999999992</c:v>
                </c:pt>
                <c:pt idx="43">
                  <c:v>0.39568599999999998</c:v>
                </c:pt>
                <c:pt idx="44">
                  <c:v>0.41043200000000002</c:v>
                </c:pt>
                <c:pt idx="45">
                  <c:v>0.42525000000000002</c:v>
                </c:pt>
                <c:pt idx="46">
                  <c:v>0.44012800000000007</c:v>
                </c:pt>
                <c:pt idx="47">
                  <c:v>0.45505399999999996</c:v>
                </c:pt>
                <c:pt idx="48">
                  <c:v>0.47001599999999999</c:v>
                </c:pt>
                <c:pt idx="49">
                  <c:v>0.48500199999999999</c:v>
                </c:pt>
                <c:pt idx="50">
                  <c:v>0.5</c:v>
                </c:pt>
                <c:pt idx="51">
                  <c:v>0.51499800000000007</c:v>
                </c:pt>
                <c:pt idx="52">
                  <c:v>0.52998400000000001</c:v>
                </c:pt>
                <c:pt idx="53">
                  <c:v>0.54494600000000004</c:v>
                </c:pt>
                <c:pt idx="54">
                  <c:v>0.55987200000000004</c:v>
                </c:pt>
                <c:pt idx="55">
                  <c:v>0.57475000000000009</c:v>
                </c:pt>
                <c:pt idx="56">
                  <c:v>0.58956800000000009</c:v>
                </c:pt>
                <c:pt idx="57">
                  <c:v>0.60431399999999991</c:v>
                </c:pt>
                <c:pt idx="58">
                  <c:v>0.61897599999999997</c:v>
                </c:pt>
                <c:pt idx="59">
                  <c:v>0.63354200000000005</c:v>
                </c:pt>
                <c:pt idx="60">
                  <c:v>0.64800000000000002</c:v>
                </c:pt>
                <c:pt idx="61">
                  <c:v>0.66233799999999998</c:v>
                </c:pt>
                <c:pt idx="62">
                  <c:v>0.67654400000000003</c:v>
                </c:pt>
                <c:pt idx="63">
                  <c:v>0.69060600000000005</c:v>
                </c:pt>
                <c:pt idx="64">
                  <c:v>0.70451200000000003</c:v>
                </c:pt>
                <c:pt idx="65">
                  <c:v>0.71825000000000006</c:v>
                </c:pt>
                <c:pt idx="66">
                  <c:v>0.73180800000000001</c:v>
                </c:pt>
                <c:pt idx="67">
                  <c:v>0.74517400000000011</c:v>
                </c:pt>
                <c:pt idx="68">
                  <c:v>0.75833600000000012</c:v>
                </c:pt>
                <c:pt idx="69">
                  <c:v>0.77128199999999991</c:v>
                </c:pt>
                <c:pt idx="70">
                  <c:v>0.78400000000000003</c:v>
                </c:pt>
                <c:pt idx="71">
                  <c:v>0.79647799999999991</c:v>
                </c:pt>
                <c:pt idx="72">
                  <c:v>0.80870399999999998</c:v>
                </c:pt>
                <c:pt idx="73">
                  <c:v>0.82066600000000001</c:v>
                </c:pt>
                <c:pt idx="74">
                  <c:v>0.83235199999999998</c:v>
                </c:pt>
                <c:pt idx="75">
                  <c:v>0.84375</c:v>
                </c:pt>
                <c:pt idx="76">
                  <c:v>0.85484800000000005</c:v>
                </c:pt>
                <c:pt idx="77">
                  <c:v>0.86563400000000001</c:v>
                </c:pt>
                <c:pt idx="78">
                  <c:v>0.87609599999999999</c:v>
                </c:pt>
                <c:pt idx="79">
                  <c:v>0.88622200000000007</c:v>
                </c:pt>
                <c:pt idx="80">
                  <c:v>0.89600000000000002</c:v>
                </c:pt>
                <c:pt idx="81">
                  <c:v>0.90541800000000006</c:v>
                </c:pt>
                <c:pt idx="82">
                  <c:v>0.91446399999999994</c:v>
                </c:pt>
                <c:pt idx="83">
                  <c:v>0.92312599999999989</c:v>
                </c:pt>
                <c:pt idx="84">
                  <c:v>0.931392</c:v>
                </c:pt>
                <c:pt idx="85">
                  <c:v>0.93924999999999992</c:v>
                </c:pt>
                <c:pt idx="86">
                  <c:v>0.94668799999999997</c:v>
                </c:pt>
                <c:pt idx="87">
                  <c:v>0.95369400000000004</c:v>
                </c:pt>
                <c:pt idx="88">
                  <c:v>0.960256</c:v>
                </c:pt>
                <c:pt idx="89">
                  <c:v>0.96636199999999994</c:v>
                </c:pt>
                <c:pt idx="90">
                  <c:v>0.97199999999999998</c:v>
                </c:pt>
                <c:pt idx="91">
                  <c:v>0.97715799999999997</c:v>
                </c:pt>
                <c:pt idx="92">
                  <c:v>0.98182400000000003</c:v>
                </c:pt>
                <c:pt idx="93">
                  <c:v>0.98598600000000003</c:v>
                </c:pt>
                <c:pt idx="94">
                  <c:v>0.98963199999999996</c:v>
                </c:pt>
                <c:pt idx="95">
                  <c:v>0.99275000000000002</c:v>
                </c:pt>
                <c:pt idx="96">
                  <c:v>0.99532799999999999</c:v>
                </c:pt>
                <c:pt idx="97">
                  <c:v>0.99735400000000007</c:v>
                </c:pt>
                <c:pt idx="98">
                  <c:v>0.99881599999999993</c:v>
                </c:pt>
                <c:pt idx="99">
                  <c:v>0.99970199999999998</c:v>
                </c:pt>
                <c:pt idx="10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8-4722-8DDD-529552AF9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β分布!$B$15:$B$115</c:f>
              <c:numCache>
                <c:formatCode>0.000000000%</c:formatCode>
                <c:ptCount val="101"/>
                <c:pt idx="0">
                  <c:v>0</c:v>
                </c:pt>
                <c:pt idx="1">
                  <c:v>5.9399999999999991E-4</c:v>
                </c:pt>
                <c:pt idx="2">
                  <c:v>1.176E-3</c:v>
                </c:pt>
                <c:pt idx="3">
                  <c:v>1.7459999999999997E-3</c:v>
                </c:pt>
                <c:pt idx="4">
                  <c:v>2.3039999999999996E-3</c:v>
                </c:pt>
                <c:pt idx="5">
                  <c:v>2.8499999999999992E-3</c:v>
                </c:pt>
                <c:pt idx="6">
                  <c:v>3.3840000000000003E-3</c:v>
                </c:pt>
                <c:pt idx="7">
                  <c:v>3.9060000000000002E-3</c:v>
                </c:pt>
                <c:pt idx="8">
                  <c:v>4.4159999999999998E-3</c:v>
                </c:pt>
                <c:pt idx="9">
                  <c:v>4.9140000000000017E-3</c:v>
                </c:pt>
                <c:pt idx="10">
                  <c:v>5.4000000000000003E-3</c:v>
                </c:pt>
                <c:pt idx="11">
                  <c:v>5.873999999999999E-3</c:v>
                </c:pt>
                <c:pt idx="12">
                  <c:v>6.3359999999999996E-3</c:v>
                </c:pt>
                <c:pt idx="13">
                  <c:v>6.7860000000000012E-3</c:v>
                </c:pt>
                <c:pt idx="14">
                  <c:v>7.2240000000000004E-3</c:v>
                </c:pt>
                <c:pt idx="15">
                  <c:v>7.6500000000000005E-3</c:v>
                </c:pt>
                <c:pt idx="16">
                  <c:v>8.0640000000000017E-3</c:v>
                </c:pt>
                <c:pt idx="17">
                  <c:v>8.4660000000000013E-3</c:v>
                </c:pt>
                <c:pt idx="18">
                  <c:v>8.856000000000001E-3</c:v>
                </c:pt>
                <c:pt idx="19">
                  <c:v>9.2339999999999992E-3</c:v>
                </c:pt>
                <c:pt idx="20">
                  <c:v>9.5999999999999992E-3</c:v>
                </c:pt>
                <c:pt idx="21">
                  <c:v>9.954000000000001E-3</c:v>
                </c:pt>
                <c:pt idx="22">
                  <c:v>1.0295999999999998E-2</c:v>
                </c:pt>
                <c:pt idx="23">
                  <c:v>1.0626E-2</c:v>
                </c:pt>
                <c:pt idx="24">
                  <c:v>1.0943999999999999E-2</c:v>
                </c:pt>
                <c:pt idx="25">
                  <c:v>1.1250000000000003E-2</c:v>
                </c:pt>
                <c:pt idx="26">
                  <c:v>1.1544E-2</c:v>
                </c:pt>
                <c:pt idx="27">
                  <c:v>1.1826000000000003E-2</c:v>
                </c:pt>
                <c:pt idx="28">
                  <c:v>1.2096000000000001E-2</c:v>
                </c:pt>
                <c:pt idx="29">
                  <c:v>1.2354E-2</c:v>
                </c:pt>
                <c:pt idx="30">
                  <c:v>1.26E-2</c:v>
                </c:pt>
                <c:pt idx="31">
                  <c:v>1.2833999999999998E-2</c:v>
                </c:pt>
                <c:pt idx="32">
                  <c:v>1.3056000000000002E-2</c:v>
                </c:pt>
                <c:pt idx="33">
                  <c:v>1.3266E-2</c:v>
                </c:pt>
                <c:pt idx="34">
                  <c:v>1.3464000000000002E-2</c:v>
                </c:pt>
                <c:pt idx="35">
                  <c:v>1.3650000000000001E-2</c:v>
                </c:pt>
                <c:pt idx="36">
                  <c:v>1.3823999999999998E-2</c:v>
                </c:pt>
                <c:pt idx="37">
                  <c:v>1.3986E-2</c:v>
                </c:pt>
                <c:pt idx="38">
                  <c:v>1.4136000000000003E-2</c:v>
                </c:pt>
                <c:pt idx="39">
                  <c:v>1.4274E-2</c:v>
                </c:pt>
                <c:pt idx="40">
                  <c:v>1.4400000000000001E-2</c:v>
                </c:pt>
                <c:pt idx="41">
                  <c:v>1.4514000000000001E-2</c:v>
                </c:pt>
                <c:pt idx="42">
                  <c:v>1.4616000000000001E-2</c:v>
                </c:pt>
                <c:pt idx="43">
                  <c:v>1.4706000000000002E-2</c:v>
                </c:pt>
                <c:pt idx="44">
                  <c:v>1.4783999999999999E-2</c:v>
                </c:pt>
                <c:pt idx="45">
                  <c:v>1.485E-2</c:v>
                </c:pt>
                <c:pt idx="46">
                  <c:v>1.4904000000000002E-2</c:v>
                </c:pt>
                <c:pt idx="47">
                  <c:v>1.4946000000000001E-2</c:v>
                </c:pt>
                <c:pt idx="48">
                  <c:v>1.4976E-2</c:v>
                </c:pt>
                <c:pt idx="49">
                  <c:v>1.4994E-2</c:v>
                </c:pt>
                <c:pt idx="50">
                  <c:v>1.4999999999999999E-2</c:v>
                </c:pt>
                <c:pt idx="51">
                  <c:v>1.4994E-2</c:v>
                </c:pt>
                <c:pt idx="52">
                  <c:v>1.4976E-2</c:v>
                </c:pt>
                <c:pt idx="53">
                  <c:v>1.4946000000000001E-2</c:v>
                </c:pt>
                <c:pt idx="54">
                  <c:v>1.4904000000000002E-2</c:v>
                </c:pt>
                <c:pt idx="55">
                  <c:v>1.485E-2</c:v>
                </c:pt>
                <c:pt idx="56">
                  <c:v>1.4783999999999999E-2</c:v>
                </c:pt>
                <c:pt idx="57">
                  <c:v>1.4706000000000002E-2</c:v>
                </c:pt>
                <c:pt idx="58">
                  <c:v>1.4616000000000001E-2</c:v>
                </c:pt>
                <c:pt idx="59">
                  <c:v>1.4514000000000003E-2</c:v>
                </c:pt>
                <c:pt idx="60">
                  <c:v>1.4400000000000001E-2</c:v>
                </c:pt>
                <c:pt idx="61">
                  <c:v>1.4274E-2</c:v>
                </c:pt>
                <c:pt idx="62">
                  <c:v>1.4136000000000003E-2</c:v>
                </c:pt>
                <c:pt idx="63">
                  <c:v>1.3986E-2</c:v>
                </c:pt>
                <c:pt idx="64">
                  <c:v>1.3823999999999998E-2</c:v>
                </c:pt>
                <c:pt idx="65">
                  <c:v>1.3650000000000001E-2</c:v>
                </c:pt>
                <c:pt idx="66">
                  <c:v>1.3464E-2</c:v>
                </c:pt>
                <c:pt idx="67">
                  <c:v>1.3266E-2</c:v>
                </c:pt>
                <c:pt idx="68">
                  <c:v>1.3056000000000002E-2</c:v>
                </c:pt>
                <c:pt idx="69">
                  <c:v>1.2834000000000002E-2</c:v>
                </c:pt>
                <c:pt idx="70">
                  <c:v>1.26E-2</c:v>
                </c:pt>
                <c:pt idx="71">
                  <c:v>1.2354E-2</c:v>
                </c:pt>
                <c:pt idx="72">
                  <c:v>1.2096000000000001E-2</c:v>
                </c:pt>
                <c:pt idx="73">
                  <c:v>1.1826000000000003E-2</c:v>
                </c:pt>
                <c:pt idx="74">
                  <c:v>1.1544E-2</c:v>
                </c:pt>
                <c:pt idx="75">
                  <c:v>1.125E-2</c:v>
                </c:pt>
                <c:pt idx="76">
                  <c:v>1.0943999999999999E-2</c:v>
                </c:pt>
                <c:pt idx="77">
                  <c:v>1.0625999999999998E-2</c:v>
                </c:pt>
                <c:pt idx="78">
                  <c:v>1.0295999999999998E-2</c:v>
                </c:pt>
                <c:pt idx="79">
                  <c:v>9.9539999999999993E-3</c:v>
                </c:pt>
                <c:pt idx="80">
                  <c:v>9.5999999999999992E-3</c:v>
                </c:pt>
                <c:pt idx="81">
                  <c:v>9.2339999999999992E-3</c:v>
                </c:pt>
                <c:pt idx="82">
                  <c:v>8.8560000000000028E-3</c:v>
                </c:pt>
                <c:pt idx="83">
                  <c:v>8.4660000000000013E-3</c:v>
                </c:pt>
                <c:pt idx="84">
                  <c:v>8.0640000000000017E-3</c:v>
                </c:pt>
                <c:pt idx="85">
                  <c:v>7.6500000000000014E-3</c:v>
                </c:pt>
                <c:pt idx="86">
                  <c:v>7.2240000000000004E-3</c:v>
                </c:pt>
                <c:pt idx="87">
                  <c:v>6.7860000000000012E-3</c:v>
                </c:pt>
                <c:pt idx="88">
                  <c:v>6.3359999999999996E-3</c:v>
                </c:pt>
                <c:pt idx="89">
                  <c:v>5.873999999999999E-3</c:v>
                </c:pt>
                <c:pt idx="90">
                  <c:v>5.3999999999999986E-3</c:v>
                </c:pt>
                <c:pt idx="91">
                  <c:v>4.9139999999999991E-3</c:v>
                </c:pt>
                <c:pt idx="92">
                  <c:v>4.4159999999999981E-3</c:v>
                </c:pt>
                <c:pt idx="93">
                  <c:v>3.9059999999999984E-3</c:v>
                </c:pt>
                <c:pt idx="94">
                  <c:v>3.3840000000000033E-3</c:v>
                </c:pt>
                <c:pt idx="95">
                  <c:v>2.8500000000000018E-3</c:v>
                </c:pt>
                <c:pt idx="96">
                  <c:v>2.3040000000000018E-3</c:v>
                </c:pt>
                <c:pt idx="97">
                  <c:v>1.7460000000000015E-3</c:v>
                </c:pt>
                <c:pt idx="98">
                  <c:v>1.176000000000001E-3</c:v>
                </c:pt>
                <c:pt idx="99">
                  <c:v>5.9400000000000067E-4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E-4E32-B3A1-B2B153ED0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11</xdr:row>
      <xdr:rowOff>0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CC484E18-C376-49AE-81E1-DB78A406CBA2}"/>
            </a:ext>
          </a:extLst>
        </xdr:cNvPr>
        <xdr:cNvCxnSpPr/>
      </xdr:nvCxnSpPr>
      <xdr:spPr>
        <a:xfrm flipV="1">
          <a:off x="714375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</xdr:row>
      <xdr:rowOff>0</xdr:rowOff>
    </xdr:from>
    <xdr:to>
      <xdr:col>33</xdr:col>
      <xdr:colOff>56250</xdr:colOff>
      <xdr:row>9</xdr:row>
      <xdr:rowOff>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D558E1F2-3A71-4BD9-A58A-E7D63AFB63DC}"/>
            </a:ext>
          </a:extLst>
        </xdr:cNvPr>
        <xdr:cNvCxnSpPr/>
      </xdr:nvCxnSpPr>
      <xdr:spPr>
        <a:xfrm rot="5400000" flipV="1">
          <a:off x="4314375" y="-145687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3</xdr:row>
      <xdr:rowOff>0</xdr:rowOff>
    </xdr:from>
    <xdr:to>
      <xdr:col>47</xdr:col>
      <xdr:colOff>0</xdr:colOff>
      <xdr:row>3</xdr:row>
      <xdr:rowOff>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D0F75C08-F0DF-4F2D-A48B-32F243F33F18}"/>
            </a:ext>
          </a:extLst>
        </xdr:cNvPr>
        <xdr:cNvCxnSpPr/>
      </xdr:nvCxnSpPr>
      <xdr:spPr>
        <a:xfrm>
          <a:off x="10477500" y="714375"/>
          <a:ext cx="914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7</xdr:row>
      <xdr:rowOff>0</xdr:rowOff>
    </xdr:from>
    <xdr:to>
      <xdr:col>17</xdr:col>
      <xdr:colOff>0</xdr:colOff>
      <xdr:row>7</xdr:row>
      <xdr:rowOff>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D76B1774-CE76-4C8D-BFAC-FFC9EFE29023}"/>
            </a:ext>
          </a:extLst>
        </xdr:cNvPr>
        <xdr:cNvCxnSpPr/>
      </xdr:nvCxnSpPr>
      <xdr:spPr>
        <a:xfrm>
          <a:off x="3333750" y="1666875"/>
          <a:ext cx="7143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7</xdr:row>
      <xdr:rowOff>0</xdr:rowOff>
    </xdr:from>
    <xdr:to>
      <xdr:col>23</xdr:col>
      <xdr:colOff>0</xdr:colOff>
      <xdr:row>7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F1F1771D-A815-4F1F-B3AB-0E35C9ED0693}"/>
            </a:ext>
          </a:extLst>
        </xdr:cNvPr>
        <xdr:cNvCxnSpPr/>
      </xdr:nvCxnSpPr>
      <xdr:spPr>
        <a:xfrm>
          <a:off x="4048125" y="1666875"/>
          <a:ext cx="1428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</xdr:row>
      <xdr:rowOff>0</xdr:rowOff>
    </xdr:from>
    <xdr:to>
      <xdr:col>17</xdr:col>
      <xdr:colOff>0</xdr:colOff>
      <xdr:row>5</xdr:row>
      <xdr:rowOff>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0B278B79-8665-4F5C-ACD6-ED9CBAFF3FFB}"/>
            </a:ext>
          </a:extLst>
        </xdr:cNvPr>
        <xdr:cNvCxnSpPr/>
      </xdr:nvCxnSpPr>
      <xdr:spPr>
        <a:xfrm>
          <a:off x="1905000" y="1190625"/>
          <a:ext cx="21431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17</xdr:row>
      <xdr:rowOff>28125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2237CCF7-25BA-4C20-9558-A4094082755F}"/>
            </a:ext>
          </a:extLst>
        </xdr:cNvPr>
        <xdr:cNvCxnSpPr/>
      </xdr:nvCxnSpPr>
      <xdr:spPr>
        <a:xfrm flipV="1">
          <a:off x="2057400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17</xdr:row>
      <xdr:rowOff>0</xdr:rowOff>
    </xdr:from>
    <xdr:to>
      <xdr:col>33</xdr:col>
      <xdr:colOff>56250</xdr:colOff>
      <xdr:row>17</xdr:row>
      <xdr:rowOff>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5B457A67-4D71-44F0-9FE7-ED9B2C01FCA3}"/>
            </a:ext>
          </a:extLst>
        </xdr:cNvPr>
        <xdr:cNvCxnSpPr/>
      </xdr:nvCxnSpPr>
      <xdr:spPr>
        <a:xfrm rot="5400000" flipV="1">
          <a:off x="4314375" y="448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24</xdr:row>
      <xdr:rowOff>161250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2E437B38-FDBC-4B17-AF26-1312D65A2E34}"/>
            </a:ext>
          </a:extLst>
        </xdr:cNvPr>
        <xdr:cNvCxnSpPr/>
      </xdr:nvCxnSpPr>
      <xdr:spPr>
        <a:xfrm flipV="1">
          <a:off x="714375" y="476250"/>
          <a:ext cx="0" cy="54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25</xdr:row>
      <xdr:rowOff>0</xdr:rowOff>
    </xdr:from>
    <xdr:to>
      <xdr:col>33</xdr:col>
      <xdr:colOff>56250</xdr:colOff>
      <xdr:row>25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B9BBE56-9542-4AA4-8C32-305125ACA3C0}"/>
            </a:ext>
          </a:extLst>
        </xdr:cNvPr>
        <xdr:cNvCxnSpPr/>
      </xdr:nvCxnSpPr>
      <xdr:spPr>
        <a:xfrm rot="5400000" flipV="1">
          <a:off x="4314375" y="2353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13</xdr:row>
      <xdr:rowOff>0</xdr:rowOff>
    </xdr:from>
    <xdr:to>
      <xdr:col>33</xdr:col>
      <xdr:colOff>56250</xdr:colOff>
      <xdr:row>13</xdr:row>
      <xdr:rowOff>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58479047-4D34-4831-BF8D-E4CA0075C232}"/>
            </a:ext>
          </a:extLst>
        </xdr:cNvPr>
        <xdr:cNvCxnSpPr/>
      </xdr:nvCxnSpPr>
      <xdr:spPr>
        <a:xfrm rot="5400000" flipV="1">
          <a:off x="4314375" y="-504375"/>
          <a:ext cx="0" cy="7200000"/>
        </a:xfrm>
        <a:prstGeom prst="straightConnector1">
          <a:avLst/>
        </a:prstGeom>
        <a:ln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0</xdr:rowOff>
    </xdr:from>
    <xdr:to>
      <xdr:col>33</xdr:col>
      <xdr:colOff>56250</xdr:colOff>
      <xdr:row>18</xdr:row>
      <xdr:rowOff>107000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4C24E7B-2BF9-43FB-936C-FEB9A31ABB8D}"/>
            </a:ext>
          </a:extLst>
        </xdr:cNvPr>
        <xdr:cNvCxnSpPr/>
      </xdr:nvCxnSpPr>
      <xdr:spPr>
        <a:xfrm rot="16200000">
          <a:off x="3111525" y="-457225"/>
          <a:ext cx="2520000" cy="72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5</xdr:row>
      <xdr:rowOff>171450</xdr:rowOff>
    </xdr:from>
    <xdr:to>
      <xdr:col>11</xdr:col>
      <xdr:colOff>0</xdr:colOff>
      <xdr:row>15</xdr:row>
      <xdr:rowOff>164744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21036A96-E6C6-416C-9042-949070FE2D9F}"/>
            </a:ext>
          </a:extLst>
        </xdr:cNvPr>
        <xdr:cNvCxnSpPr/>
      </xdr:nvCxnSpPr>
      <xdr:spPr>
        <a:xfrm>
          <a:off x="2654300" y="1377950"/>
          <a:ext cx="0" cy="2406294"/>
        </a:xfrm>
        <a:prstGeom prst="line">
          <a:avLst/>
        </a:prstGeom>
        <a:ln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11</xdr:row>
      <xdr:rowOff>44450</xdr:rowOff>
    </xdr:from>
    <xdr:to>
      <xdr:col>24</xdr:col>
      <xdr:colOff>0</xdr:colOff>
      <xdr:row>17</xdr:row>
      <xdr:rowOff>88350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C592E2FE-42ED-4FB5-BEC0-EEAB8C1FC8AB}"/>
            </a:ext>
          </a:extLst>
        </xdr:cNvPr>
        <xdr:cNvCxnSpPr/>
      </xdr:nvCxnSpPr>
      <xdr:spPr>
        <a:xfrm>
          <a:off x="5791200" y="2698750"/>
          <a:ext cx="0" cy="1491700"/>
        </a:xfrm>
        <a:prstGeom prst="line">
          <a:avLst/>
        </a:prstGeom>
        <a:ln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</xdr:row>
      <xdr:rowOff>215900</xdr:rowOff>
    </xdr:from>
    <xdr:to>
      <xdr:col>10</xdr:col>
      <xdr:colOff>155448</xdr:colOff>
      <xdr:row>15</xdr:row>
      <xdr:rowOff>174619</xdr:rowOff>
    </xdr:to>
    <xdr:sp macro="" textlink="">
      <xdr:nvSpPr>
        <xdr:cNvPr id="28" name="左中かっこ 27">
          <a:extLst>
            <a:ext uri="{FF2B5EF4-FFF2-40B4-BE49-F238E27FC236}">
              <a16:creationId xmlns:a16="http://schemas.microsoft.com/office/drawing/2014/main" id="{4AB77F57-1B00-44DB-9C1C-B26C12025D72}"/>
            </a:ext>
          </a:extLst>
        </xdr:cNvPr>
        <xdr:cNvSpPr/>
      </xdr:nvSpPr>
      <xdr:spPr>
        <a:xfrm>
          <a:off x="2413000" y="1422400"/>
          <a:ext cx="155448" cy="2371719"/>
        </a:xfrm>
        <a:prstGeom prst="lef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12</xdr:col>
      <xdr:colOff>155448</xdr:colOff>
      <xdr:row>12</xdr:row>
      <xdr:rowOff>230837</xdr:rowOff>
    </xdr:to>
    <xdr:sp macro="" textlink="">
      <xdr:nvSpPr>
        <xdr:cNvPr id="36" name="左中かっこ 35">
          <a:extLst>
            <a:ext uri="{FF2B5EF4-FFF2-40B4-BE49-F238E27FC236}">
              <a16:creationId xmlns:a16="http://schemas.microsoft.com/office/drawing/2014/main" id="{15B8F755-8EFF-4ADB-9F39-DEE15726B6B3}"/>
            </a:ext>
          </a:extLst>
        </xdr:cNvPr>
        <xdr:cNvSpPr/>
      </xdr:nvSpPr>
      <xdr:spPr>
        <a:xfrm flipH="1">
          <a:off x="2895600" y="1447800"/>
          <a:ext cx="155448" cy="1678637"/>
        </a:xfrm>
        <a:prstGeom prst="leftBrace">
          <a:avLst/>
        </a:prstGeom>
        <a:ln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23</xdr:col>
      <xdr:colOff>155448</xdr:colOff>
      <xdr:row>17</xdr:row>
      <xdr:rowOff>78234</xdr:rowOff>
    </xdr:to>
    <xdr:sp macro="" textlink="">
      <xdr:nvSpPr>
        <xdr:cNvPr id="38" name="左中かっこ 37">
          <a:extLst>
            <a:ext uri="{FF2B5EF4-FFF2-40B4-BE49-F238E27FC236}">
              <a16:creationId xmlns:a16="http://schemas.microsoft.com/office/drawing/2014/main" id="{958EEBF1-24FB-49DD-883A-4EA16A7D256D}"/>
            </a:ext>
          </a:extLst>
        </xdr:cNvPr>
        <xdr:cNvSpPr/>
      </xdr:nvSpPr>
      <xdr:spPr>
        <a:xfrm>
          <a:off x="5549900" y="2654300"/>
          <a:ext cx="155448" cy="1526034"/>
        </a:xfrm>
        <a:prstGeom prst="lef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27</xdr:col>
      <xdr:colOff>155448</xdr:colOff>
      <xdr:row>17</xdr:row>
      <xdr:rowOff>77102</xdr:rowOff>
    </xdr:to>
    <xdr:sp macro="" textlink="">
      <xdr:nvSpPr>
        <xdr:cNvPr id="41" name="左中かっこ 40">
          <a:extLst>
            <a:ext uri="{FF2B5EF4-FFF2-40B4-BE49-F238E27FC236}">
              <a16:creationId xmlns:a16="http://schemas.microsoft.com/office/drawing/2014/main" id="{ED89E572-A7B0-4D39-8527-F1727C396C5E}"/>
            </a:ext>
          </a:extLst>
        </xdr:cNvPr>
        <xdr:cNvSpPr/>
      </xdr:nvSpPr>
      <xdr:spPr>
        <a:xfrm flipH="1">
          <a:off x="6515100" y="3136900"/>
          <a:ext cx="155448" cy="1042302"/>
        </a:xfrm>
        <a:prstGeom prst="leftBrace">
          <a:avLst/>
        </a:prstGeom>
        <a:ln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17</xdr:row>
      <xdr:rowOff>28125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717EBF03-332D-4694-B38A-50D78383D473}"/>
            </a:ext>
          </a:extLst>
        </xdr:cNvPr>
        <xdr:cNvCxnSpPr/>
      </xdr:nvCxnSpPr>
      <xdr:spPr>
        <a:xfrm flipV="1">
          <a:off x="714375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17</xdr:row>
      <xdr:rowOff>0</xdr:rowOff>
    </xdr:from>
    <xdr:to>
      <xdr:col>33</xdr:col>
      <xdr:colOff>56250</xdr:colOff>
      <xdr:row>17</xdr:row>
      <xdr:rowOff>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EE797697-51BE-4117-AF9A-9CC0E9E7CABA}"/>
            </a:ext>
          </a:extLst>
        </xdr:cNvPr>
        <xdr:cNvCxnSpPr/>
      </xdr:nvCxnSpPr>
      <xdr:spPr>
        <a:xfrm rot="5400000" flipV="1">
          <a:off x="4314375" y="448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11902</xdr:colOff>
      <xdr:row>8</xdr:row>
      <xdr:rowOff>238120</xdr:rowOff>
    </xdr:from>
    <xdr:to>
      <xdr:col>30</xdr:col>
      <xdr:colOff>0</xdr:colOff>
      <xdr:row>26</xdr:row>
      <xdr:rowOff>200020</xdr:rowOff>
    </xdr:to>
    <xdr:sp macro="" textlink="">
      <xdr:nvSpPr>
        <xdr:cNvPr id="4" name="円弧 3">
          <a:extLst>
            <a:ext uri="{FF2B5EF4-FFF2-40B4-BE49-F238E27FC236}">
              <a16:creationId xmlns:a16="http://schemas.microsoft.com/office/drawing/2014/main" id="{3701CBF6-400F-4397-8CBD-30805AF28CAE}"/>
            </a:ext>
          </a:extLst>
        </xdr:cNvPr>
        <xdr:cNvSpPr/>
      </xdr:nvSpPr>
      <xdr:spPr>
        <a:xfrm>
          <a:off x="1916902" y="2143120"/>
          <a:ext cx="5226848" cy="4248150"/>
        </a:xfrm>
        <a:prstGeom prst="arc">
          <a:avLst>
            <a:gd name="adj1" fmla="val 11103660"/>
            <a:gd name="adj2" fmla="val 21314656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4393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D2275F35-DCB5-4D6D-8178-3D1477A6B0A2}"/>
                </a:ext>
              </a:extLst>
            </xdr:cNvPr>
            <xdr:cNvSpPr txBox="1"/>
          </xdr:nvSpPr>
          <xdr:spPr>
            <a:xfrm>
              <a:off x="2143125" y="238125"/>
              <a:ext cx="14393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f>
                      <m:f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D2275F35-DCB5-4D6D-8178-3D1477A6B0A2}"/>
                </a:ext>
              </a:extLst>
            </xdr:cNvPr>
            <xdr:cNvSpPr txBox="1"/>
          </xdr:nvSpPr>
          <xdr:spPr>
            <a:xfrm>
              <a:off x="2143125" y="238125"/>
              <a:ext cx="14393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𝑓(𝑥)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_𝐾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 _(𝑁−𝐾) 𝐶_(𝑛−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 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C1693251-8373-4C10-90FB-5381E4864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F47FA6B5-3D6B-4865-B8EC-E0EBC4D4A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421D556E-DEFC-4DF5-AD57-E899932C6F8D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421D556E-DEFC-4DF5-AD57-E899932C6F8D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 𝑝^𝑥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〖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(1−𝑝)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EA6430E-B080-4B3C-940D-D9AACFA42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9A2C150-7A57-41B3-8137-E39883AF1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32182463-D4ED-48A8-B02E-CC39C739B709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32182463-D4ED-48A8-B02E-CC39C739B709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_𝑛 𝐶_𝑥 𝑝^𝑥 〖(1−𝑝)〗^(𝑛−𝑥)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CA961DA-BBFF-4BB8-BF32-92A04D0B5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6E46114-2D68-4069-8B83-7C564B775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F768FD9-315E-4A62-8B2D-E610F15CB695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F768FD9-315E-4A62-8B2D-E610F15CB695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_𝑛 𝐶_𝑥 𝑝^𝑥 〖(1−𝑝)〗^(𝑛−𝑥)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B2CDFED-4CDA-4DD1-B959-6A8AD1328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D5FFC11-9ED5-4A98-BC44-F6ABB738A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AED5BDF5-20EC-4407-973E-EDA6300A1F09}"/>
                </a:ext>
              </a:extLst>
            </xdr:cNvPr>
            <xdr:cNvSpPr txBox="1"/>
          </xdr:nvSpPr>
          <xdr:spPr>
            <a:xfrm>
              <a:off x="189547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AED5BDF5-20EC-4407-973E-EDA6300A1F09}"/>
                </a:ext>
              </a:extLst>
            </xdr:cNvPr>
            <xdr:cNvSpPr txBox="1"/>
          </xdr:nvSpPr>
          <xdr:spPr>
            <a:xfrm>
              <a:off x="189547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4E3E0EB-E72E-464A-8774-586C829F3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1970379-9C50-4A74-82D8-9FD7B7D0B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8FCFB5EE-3AD5-487B-B60E-62EE138048A1}"/>
                </a:ext>
              </a:extLst>
            </xdr:cNvPr>
            <xdr:cNvSpPr txBox="1"/>
          </xdr:nvSpPr>
          <xdr:spPr>
            <a:xfrm>
              <a:off x="189547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8FCFB5EE-3AD5-487B-B60E-62EE138048A1}"/>
                </a:ext>
              </a:extLst>
            </xdr:cNvPr>
            <xdr:cNvSpPr txBox="1"/>
          </xdr:nvSpPr>
          <xdr:spPr>
            <a:xfrm>
              <a:off x="189547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AECFC2E-D440-4429-A734-E40D5488F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A4DD04-6364-459D-8A17-CBEC87D64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9F52866E-2667-4569-A58C-424891CF878E}"/>
                </a:ext>
              </a:extLst>
            </xdr:cNvPr>
            <xdr:cNvSpPr txBox="1"/>
          </xdr:nvSpPr>
          <xdr:spPr>
            <a:xfrm>
              <a:off x="199072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9F52866E-2667-4569-A58C-424891CF878E}"/>
                </a:ext>
              </a:extLst>
            </xdr:cNvPr>
            <xdr:cNvSpPr txBox="1"/>
          </xdr:nvSpPr>
          <xdr:spPr>
            <a:xfrm>
              <a:off x="199072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2</xdr:row>
      <xdr:rowOff>0</xdr:rowOff>
    </xdr:from>
    <xdr:to>
      <xdr:col>11</xdr:col>
      <xdr:colOff>457200</xdr:colOff>
      <xdr:row>13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0C78C0C-A4A5-4B16-97D1-9D7DAE942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F78C71F-B8EC-4EBA-9284-FB855DC8C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E6818249-F225-4902-BCA9-9A960824E1CA}"/>
                </a:ext>
              </a:extLst>
            </xdr:cNvPr>
            <xdr:cNvSpPr txBox="1"/>
          </xdr:nvSpPr>
          <xdr:spPr>
            <a:xfrm>
              <a:off x="199072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E6818249-F225-4902-BCA9-9A960824E1CA}"/>
                </a:ext>
              </a:extLst>
            </xdr:cNvPr>
            <xdr:cNvSpPr txBox="1"/>
          </xdr:nvSpPr>
          <xdr:spPr>
            <a:xfrm>
              <a:off x="1990725" y="238125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D1D81A3-C9B4-4229-B3A2-A3DC43CCF6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94710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736E04C-FF28-42EA-8BEA-B1E8E23D95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A7B8F06F-5E5C-41D6-9C4E-169B40975020}"/>
                </a:ext>
              </a:extLst>
            </xdr:cNvPr>
            <xdr:cNvSpPr txBox="1"/>
          </xdr:nvSpPr>
          <xdr:spPr>
            <a:xfrm>
              <a:off x="1190625" y="476250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A7B8F06F-5E5C-41D6-9C4E-169B40975020}"/>
                </a:ext>
              </a:extLst>
            </xdr:cNvPr>
            <xdr:cNvSpPr txBox="1"/>
          </xdr:nvSpPr>
          <xdr:spPr>
            <a:xfrm>
              <a:off x="1190625" y="476250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67AD79C-A6BE-4780-B5F9-E705D0BBBD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94710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26A1A2F-93FF-40E3-8E8D-BF773728B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45719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79F72A4D-B050-45B3-9F6E-09FA197B71F6}"/>
                </a:ext>
              </a:extLst>
            </xdr:cNvPr>
            <xdr:cNvSpPr txBox="1"/>
          </xdr:nvSpPr>
          <xdr:spPr>
            <a:xfrm>
              <a:off x="1190625" y="476250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79F72A4D-B050-45B3-9F6E-09FA197B71F6}"/>
                </a:ext>
              </a:extLst>
            </xdr:cNvPr>
            <xdr:cNvSpPr txBox="1"/>
          </xdr:nvSpPr>
          <xdr:spPr>
            <a:xfrm>
              <a:off x="1190625" y="476250"/>
              <a:ext cx="145719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_(𝑘+𝑥−1) 𝐶_𝑥 𝑝^𝑘 𝑞^(𝑘−𝑥)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F099124-0AF3-481B-8F2B-427151FD7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94710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D0B9E48-4456-4108-AAA8-5DDD77DA9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13</xdr:col>
      <xdr:colOff>1</xdr:colOff>
      <xdr:row>13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E917331-1932-4264-93B1-FFF3298860F8}"/>
            </a:ext>
          </a:extLst>
        </xdr:cNvPr>
        <xdr:cNvSpPr/>
      </xdr:nvSpPr>
      <xdr:spPr>
        <a:xfrm>
          <a:off x="5324475" y="1381125"/>
          <a:ext cx="809626" cy="4114800"/>
        </a:xfrm>
        <a:prstGeom prst="rect">
          <a:avLst/>
        </a:prstGeom>
        <a:solidFill>
          <a:srgbClr val="5B9BD5">
            <a:alpha val="25098"/>
          </a:srgb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周辺確率分布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B9E7DBD-83AF-42E5-8732-F0BDF2E0794D}"/>
            </a:ext>
          </a:extLst>
        </xdr:cNvPr>
        <xdr:cNvSpPr/>
      </xdr:nvSpPr>
      <xdr:spPr>
        <a:xfrm>
          <a:off x="685800" y="695325"/>
          <a:ext cx="4638675" cy="4800600"/>
        </a:xfrm>
        <a:prstGeom prst="rect">
          <a:avLst/>
        </a:prstGeom>
        <a:solidFill>
          <a:srgbClr val="5B9BD5">
            <a:alpha val="25098"/>
          </a:srgb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同時確率分布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9909AD4-4D4E-4608-A223-3B5214F6578C}"/>
            </a:ext>
          </a:extLst>
        </xdr:cNvPr>
        <xdr:cNvSpPr/>
      </xdr:nvSpPr>
      <xdr:spPr>
        <a:xfrm>
          <a:off x="1466850" y="5495925"/>
          <a:ext cx="3857625" cy="914400"/>
        </a:xfrm>
        <a:prstGeom prst="rect">
          <a:avLst/>
        </a:prstGeom>
        <a:solidFill>
          <a:srgbClr val="5B9BD5">
            <a:alpha val="25098"/>
          </a:srgb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周辺確率分布</a:t>
          </a:r>
        </a:p>
      </xdr:txBody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840B69CF-370E-4C2C-91D5-9E0625D4CA35}"/>
            </a:ext>
          </a:extLst>
        </xdr:cNvPr>
        <xdr:cNvSpPr/>
      </xdr:nvSpPr>
      <xdr:spPr>
        <a:xfrm>
          <a:off x="4467225" y="695325"/>
          <a:ext cx="428625" cy="4800600"/>
        </a:xfrm>
        <a:prstGeom prst="rect">
          <a:avLst/>
        </a:prstGeom>
        <a:solidFill>
          <a:srgbClr val="5B9BD5">
            <a:alpha val="25098"/>
          </a:srgb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条件付確率分布 </a:t>
          </a:r>
          <a:r>
            <a:rPr kumimoji="1" lang="en-US" altLang="ja-JP" sz="1100" b="1">
              <a:solidFill>
                <a:srgbClr val="FF0000"/>
              </a:solidFill>
            </a:rPr>
            <a:t>(Y=8</a:t>
          </a:r>
          <a:r>
            <a:rPr kumimoji="1" lang="ja-JP" altLang="en-US" sz="1100" b="1">
              <a:solidFill>
                <a:srgbClr val="FF0000"/>
              </a:solidFill>
            </a:rPr>
            <a:t>の</a:t>
          </a:r>
          <a:r>
            <a:rPr kumimoji="1" lang="en-US" altLang="ja-JP" sz="1100" b="1">
              <a:solidFill>
                <a:srgbClr val="FF0000"/>
              </a:solidFill>
            </a:rPr>
            <a:t>X</a:t>
          </a:r>
          <a:r>
            <a:rPr kumimoji="1" lang="ja-JP" altLang="en-US" sz="1100" b="1">
              <a:solidFill>
                <a:srgbClr val="FF0000"/>
              </a:solidFill>
            </a:rPr>
            <a:t>の分布</a:t>
          </a:r>
          <a:r>
            <a:rPr kumimoji="1" lang="en-US" altLang="ja-JP" sz="1100" b="1">
              <a:solidFill>
                <a:srgbClr val="FF0000"/>
              </a:solidFill>
            </a:rPr>
            <a:t>)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434A7-9D94-470F-9FF2-70D27EB81E88}">
  <sheetPr codeName="Sheet1"/>
  <dimension ref="D5:AH13"/>
  <sheetViews>
    <sheetView zoomScale="80" zoomScaleNormal="80" workbookViewId="0">
      <selection activeCell="D13" sqref="D13"/>
    </sheetView>
  </sheetViews>
  <sheetFormatPr defaultColWidth="3.125" defaultRowHeight="18.75"/>
  <sheetData>
    <row r="5" spans="4:34">
      <c r="M5" s="72" t="s">
        <v>51</v>
      </c>
      <c r="R5" s="65"/>
    </row>
    <row r="6" spans="4:34">
      <c r="I6" s="71"/>
      <c r="R6" s="65"/>
    </row>
    <row r="7" spans="4:34">
      <c r="I7" s="71"/>
      <c r="P7" s="72" t="s">
        <v>50</v>
      </c>
      <c r="R7" s="65"/>
      <c r="T7" s="72" t="s">
        <v>49</v>
      </c>
    </row>
    <row r="8" spans="4:34">
      <c r="I8" s="71"/>
      <c r="O8" s="71"/>
      <c r="R8" s="65"/>
      <c r="X8" s="71"/>
    </row>
    <row r="9" spans="4:34">
      <c r="D9" s="67"/>
      <c r="E9" s="67"/>
      <c r="F9" s="67"/>
      <c r="G9" s="67"/>
      <c r="H9" s="67"/>
      <c r="I9" s="71"/>
      <c r="J9" s="67"/>
      <c r="K9" s="67"/>
      <c r="L9" s="67"/>
      <c r="M9" s="67"/>
      <c r="N9" s="67"/>
      <c r="O9" s="71"/>
      <c r="P9" s="67"/>
      <c r="Q9" s="67"/>
      <c r="R9" s="65"/>
      <c r="S9" s="67"/>
      <c r="T9" s="67"/>
      <c r="U9" s="67"/>
      <c r="V9" s="67"/>
      <c r="W9" s="67"/>
      <c r="X9" s="71"/>
      <c r="Y9" s="67"/>
      <c r="Z9" s="67"/>
      <c r="AA9" s="67"/>
      <c r="AB9" s="67"/>
      <c r="AC9" s="67"/>
      <c r="AD9" s="67"/>
      <c r="AE9" s="67"/>
      <c r="AF9" s="67"/>
      <c r="AG9" s="67"/>
      <c r="AH9" t="s">
        <v>45</v>
      </c>
    </row>
    <row r="10" spans="4:34">
      <c r="D10" s="67"/>
      <c r="E10" s="67"/>
      <c r="F10" s="67"/>
      <c r="G10" s="67"/>
      <c r="H10" s="67"/>
      <c r="I10" s="71" t="s">
        <v>46</v>
      </c>
      <c r="J10" s="67"/>
      <c r="K10" s="67"/>
      <c r="L10" s="67"/>
      <c r="M10" s="67"/>
      <c r="N10" s="67"/>
      <c r="O10" s="71" t="s">
        <v>47</v>
      </c>
      <c r="P10" s="67"/>
      <c r="Q10" s="67"/>
      <c r="R10" s="65" t="s">
        <v>44</v>
      </c>
      <c r="S10" s="67"/>
      <c r="T10" s="67"/>
      <c r="U10" s="67"/>
      <c r="V10" s="67"/>
      <c r="W10" s="67"/>
      <c r="X10" s="71" t="s">
        <v>48</v>
      </c>
      <c r="Y10" s="67"/>
      <c r="Z10" s="67"/>
      <c r="AA10" s="67"/>
      <c r="AB10" s="67"/>
      <c r="AC10" s="67"/>
      <c r="AD10" s="67"/>
      <c r="AE10" s="67"/>
      <c r="AF10" s="67"/>
      <c r="AG10" s="67"/>
    </row>
    <row r="11" spans="4:34">
      <c r="D11" s="67"/>
      <c r="E11" s="67"/>
      <c r="F11" s="67"/>
      <c r="G11" s="67"/>
      <c r="H11" s="67"/>
      <c r="I11" s="71"/>
      <c r="J11" s="67"/>
      <c r="K11" s="67"/>
      <c r="L11" s="67"/>
      <c r="M11" s="67"/>
      <c r="N11" s="67"/>
      <c r="O11" s="71"/>
      <c r="P11" s="67"/>
      <c r="Q11" s="67"/>
      <c r="R11" s="65"/>
      <c r="S11" s="67"/>
      <c r="T11" s="67"/>
      <c r="U11" s="67"/>
      <c r="V11" s="67"/>
      <c r="W11" s="67"/>
      <c r="X11" s="71"/>
      <c r="Y11" s="67"/>
      <c r="Z11" s="67"/>
      <c r="AA11" s="67"/>
      <c r="AB11" s="67"/>
      <c r="AC11" s="67"/>
      <c r="AD11" s="67"/>
      <c r="AE11" s="67"/>
      <c r="AF11" s="67"/>
      <c r="AG11" s="67"/>
    </row>
    <row r="13" spans="4:34">
      <c r="D13" t="s">
        <v>52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zoomScale="80" zoomScaleNormal="80" workbookViewId="0">
      <selection activeCell="G19" sqref="G19"/>
    </sheetView>
  </sheetViews>
  <sheetFormatPr defaultColWidth="3.125" defaultRowHeight="18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44C70-92F3-49C6-8B88-4D4E389BFC39}">
  <sheetPr codeName="Sheet3"/>
  <dimension ref="C6:AH31"/>
  <sheetViews>
    <sheetView zoomScale="80" zoomScaleNormal="80" workbookViewId="0">
      <selection activeCell="AY22" sqref="AY22"/>
    </sheetView>
  </sheetViews>
  <sheetFormatPr defaultColWidth="3.125" defaultRowHeight="18.75"/>
  <cols>
    <col min="3" max="3" width="3.125" style="1"/>
  </cols>
  <sheetData>
    <row r="6" spans="3:34">
      <c r="C6" s="1" t="s">
        <v>6</v>
      </c>
      <c r="L6" t="s">
        <v>2</v>
      </c>
    </row>
    <row r="10" spans="3:34">
      <c r="N10" s="2" t="s">
        <v>12</v>
      </c>
    </row>
    <row r="11" spans="3:34">
      <c r="C11" s="1" t="s">
        <v>16</v>
      </c>
      <c r="J11" s="1" t="s">
        <v>11</v>
      </c>
    </row>
    <row r="12" spans="3:34">
      <c r="Y12" t="s">
        <v>7</v>
      </c>
    </row>
    <row r="14" spans="3:34">
      <c r="C14" s="1" t="s">
        <v>1</v>
      </c>
      <c r="L14" t="s">
        <v>0</v>
      </c>
      <c r="Y14" t="s">
        <v>9</v>
      </c>
      <c r="AH14" t="s">
        <v>1</v>
      </c>
    </row>
    <row r="15" spans="3:34">
      <c r="W15" s="1" t="s">
        <v>13</v>
      </c>
    </row>
    <row r="16" spans="3:34">
      <c r="C16" s="1" t="s">
        <v>15</v>
      </c>
      <c r="AC16" t="s">
        <v>14</v>
      </c>
    </row>
    <row r="17" spans="3:25">
      <c r="L17" t="s">
        <v>8</v>
      </c>
    </row>
    <row r="18" spans="3:25">
      <c r="Y18" t="s">
        <v>3</v>
      </c>
    </row>
    <row r="19" spans="3:25">
      <c r="C19" s="1" t="s">
        <v>5</v>
      </c>
    </row>
    <row r="26" spans="3:25">
      <c r="L26" t="s">
        <v>10</v>
      </c>
      <c r="Y26" t="s">
        <v>4</v>
      </c>
    </row>
    <row r="28" spans="3:25">
      <c r="D28" t="s">
        <v>18</v>
      </c>
    </row>
    <row r="29" spans="3:25">
      <c r="E29" t="s">
        <v>19</v>
      </c>
    </row>
    <row r="30" spans="3:25">
      <c r="D30" t="s">
        <v>17</v>
      </c>
    </row>
    <row r="31" spans="3:25">
      <c r="E31" t="s">
        <v>20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55D9-8520-45C8-B286-82DD5CC99598}">
  <sheetPr codeName="Sheet4"/>
  <dimension ref="C2:AL18"/>
  <sheetViews>
    <sheetView zoomScale="80" zoomScaleNormal="80" workbookViewId="0"/>
  </sheetViews>
  <sheetFormatPr defaultColWidth="3.125" defaultRowHeight="18.75"/>
  <sheetData>
    <row r="2" spans="3:38">
      <c r="C2" s="9" t="s">
        <v>21</v>
      </c>
      <c r="D2" s="10"/>
      <c r="E2" s="10"/>
      <c r="F2" s="10"/>
      <c r="G2" s="10"/>
      <c r="H2" s="15" t="s">
        <v>22</v>
      </c>
      <c r="I2" s="16"/>
      <c r="J2" s="16"/>
      <c r="K2" s="17"/>
      <c r="AD2" s="9" t="s">
        <v>21</v>
      </c>
      <c r="AE2" s="10"/>
      <c r="AF2" s="10"/>
      <c r="AG2" s="10"/>
      <c r="AH2" s="10"/>
      <c r="AI2" s="43" t="s">
        <v>22</v>
      </c>
      <c r="AJ2" s="44"/>
      <c r="AK2" s="44"/>
      <c r="AL2" s="45"/>
    </row>
    <row r="3" spans="3:38">
      <c r="C3" s="11"/>
      <c r="D3" s="12"/>
      <c r="E3" s="12"/>
      <c r="F3" s="12"/>
      <c r="G3" s="12"/>
      <c r="H3" s="18"/>
      <c r="I3" s="19"/>
      <c r="J3" s="19"/>
      <c r="K3" s="20"/>
      <c r="AD3" s="11"/>
      <c r="AE3" s="12"/>
      <c r="AF3" s="12"/>
      <c r="AG3" s="12"/>
      <c r="AH3" s="12"/>
      <c r="AI3" s="46"/>
      <c r="AJ3" s="47"/>
      <c r="AK3" s="47"/>
      <c r="AL3" s="48"/>
    </row>
    <row r="4" spans="3:38">
      <c r="C4" s="11"/>
      <c r="D4" s="12"/>
      <c r="E4" s="42" t="s">
        <v>33</v>
      </c>
      <c r="F4" s="29"/>
      <c r="G4" s="29"/>
      <c r="H4" s="30"/>
      <c r="I4" s="31"/>
      <c r="J4" s="32"/>
      <c r="K4" s="20"/>
      <c r="AD4" s="11"/>
      <c r="AE4" s="12"/>
      <c r="AF4" s="42" t="s">
        <v>33</v>
      </c>
      <c r="AG4" s="29"/>
      <c r="AH4" s="29"/>
      <c r="AI4" s="49"/>
      <c r="AJ4" s="50"/>
      <c r="AK4" s="51"/>
      <c r="AL4" s="48"/>
    </row>
    <row r="5" spans="3:38">
      <c r="C5" s="11"/>
      <c r="D5" s="12"/>
      <c r="E5" s="33"/>
      <c r="F5" s="25"/>
      <c r="G5" s="25"/>
      <c r="H5" s="26"/>
      <c r="I5" s="27"/>
      <c r="J5" s="34"/>
      <c r="K5" s="20"/>
      <c r="AD5" s="11"/>
      <c r="AE5" s="12"/>
      <c r="AF5" s="33"/>
      <c r="AG5" s="25"/>
      <c r="AH5" s="25"/>
      <c r="AI5" s="46"/>
      <c r="AJ5" s="47"/>
      <c r="AK5" s="52"/>
      <c r="AL5" s="48"/>
    </row>
    <row r="6" spans="3:38">
      <c r="C6" s="13"/>
      <c r="D6" s="14"/>
      <c r="E6" s="35"/>
      <c r="F6" s="22"/>
      <c r="G6" s="22" t="s">
        <v>24</v>
      </c>
      <c r="H6" s="23"/>
      <c r="I6" s="28"/>
      <c r="J6" s="36" t="s">
        <v>25</v>
      </c>
      <c r="K6" s="21"/>
      <c r="AD6" s="13"/>
      <c r="AE6" s="14"/>
      <c r="AF6" s="35"/>
      <c r="AG6" s="22"/>
      <c r="AH6" s="22" t="s">
        <v>24</v>
      </c>
      <c r="AI6" s="53"/>
      <c r="AJ6" s="54"/>
      <c r="AK6" s="55" t="s">
        <v>25</v>
      </c>
      <c r="AL6" s="56"/>
    </row>
    <row r="7" spans="3:38">
      <c r="C7" s="3" t="s">
        <v>23</v>
      </c>
      <c r="D7" s="4"/>
      <c r="E7" s="37"/>
      <c r="F7" s="24"/>
      <c r="G7" s="24"/>
      <c r="H7" s="24"/>
      <c r="I7" s="24"/>
      <c r="J7" s="38"/>
      <c r="K7" s="5"/>
      <c r="AD7" s="46" t="s">
        <v>23</v>
      </c>
      <c r="AE7" s="47"/>
      <c r="AF7" s="57"/>
      <c r="AG7" s="47"/>
      <c r="AH7" s="47"/>
      <c r="AI7" s="47"/>
      <c r="AJ7" s="47"/>
      <c r="AK7" s="52"/>
      <c r="AL7" s="48"/>
    </row>
    <row r="8" spans="3:38">
      <c r="C8" s="3"/>
      <c r="D8" s="4"/>
      <c r="E8" s="37"/>
      <c r="F8" s="24"/>
      <c r="G8" s="24"/>
      <c r="H8" s="24"/>
      <c r="I8" s="24"/>
      <c r="J8" s="38"/>
      <c r="K8" s="5"/>
      <c r="AD8" s="46"/>
      <c r="AE8" s="47"/>
      <c r="AF8" s="57"/>
      <c r="AG8" s="47"/>
      <c r="AH8" s="47"/>
      <c r="AI8" s="47"/>
      <c r="AJ8" s="47"/>
      <c r="AK8" s="52"/>
      <c r="AL8" s="48"/>
    </row>
    <row r="9" spans="3:38">
      <c r="C9" s="3"/>
      <c r="D9" s="4"/>
      <c r="E9" s="39"/>
      <c r="F9" s="40"/>
      <c r="G9" s="40"/>
      <c r="H9" s="40"/>
      <c r="I9" s="40"/>
      <c r="J9" s="41" t="s">
        <v>26</v>
      </c>
      <c r="K9" s="5"/>
      <c r="AD9" s="46"/>
      <c r="AE9" s="47"/>
      <c r="AF9" s="58"/>
      <c r="AG9" s="59"/>
      <c r="AH9" s="59"/>
      <c r="AI9" s="59"/>
      <c r="AJ9" s="59"/>
      <c r="AK9" s="60" t="s">
        <v>26</v>
      </c>
      <c r="AL9" s="48"/>
    </row>
    <row r="10" spans="3:38">
      <c r="C10" s="6"/>
      <c r="D10" s="7"/>
      <c r="E10" s="7"/>
      <c r="F10" s="7"/>
      <c r="G10" s="7"/>
      <c r="H10" s="7"/>
      <c r="I10" s="7"/>
      <c r="J10" s="7"/>
      <c r="K10" s="8"/>
      <c r="AD10" s="53"/>
      <c r="AE10" s="54"/>
      <c r="AF10" s="54"/>
      <c r="AG10" s="54"/>
      <c r="AH10" s="54"/>
      <c r="AI10" s="54"/>
      <c r="AJ10" s="54"/>
      <c r="AK10" s="54"/>
      <c r="AL10" s="56"/>
    </row>
    <row r="12" spans="3:38">
      <c r="C12" t="s">
        <v>27</v>
      </c>
      <c r="AB12" t="s">
        <v>35</v>
      </c>
    </row>
    <row r="13" spans="3:38">
      <c r="E13" t="s">
        <v>28</v>
      </c>
      <c r="AC13" t="s">
        <v>36</v>
      </c>
    </row>
    <row r="14" spans="3:38">
      <c r="E14" t="s">
        <v>29</v>
      </c>
      <c r="AB14" t="s">
        <v>37</v>
      </c>
    </row>
    <row r="15" spans="3:38">
      <c r="E15" t="s">
        <v>30</v>
      </c>
      <c r="AC15" t="s">
        <v>38</v>
      </c>
    </row>
    <row r="16" spans="3:38">
      <c r="C16" t="s">
        <v>31</v>
      </c>
      <c r="AC16" t="s">
        <v>39</v>
      </c>
    </row>
    <row r="17" spans="5:29">
      <c r="E17" t="s">
        <v>32</v>
      </c>
      <c r="AC17" t="s">
        <v>40</v>
      </c>
    </row>
    <row r="18" spans="5:29">
      <c r="E18" t="s">
        <v>34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A101A-98A3-4553-882A-6FBF70E9C9AE}">
  <sheetPr codeName="Sheet5"/>
  <dimension ref="C2:AH18"/>
  <sheetViews>
    <sheetView zoomScale="80" zoomScaleNormal="80" workbookViewId="0">
      <selection activeCell="W19" sqref="W19"/>
    </sheetView>
  </sheetViews>
  <sheetFormatPr defaultColWidth="3.125" defaultRowHeight="18.75"/>
  <sheetData>
    <row r="2" spans="3:30">
      <c r="C2" t="s">
        <v>41</v>
      </c>
    </row>
    <row r="9" spans="3:30">
      <c r="K9" s="67"/>
      <c r="L9" s="67"/>
      <c r="M9" s="67"/>
      <c r="N9" s="67"/>
      <c r="O9" s="67"/>
    </row>
    <row r="10" spans="3:30">
      <c r="K10" s="67"/>
      <c r="L10" s="67"/>
      <c r="M10" s="67"/>
      <c r="N10" s="67"/>
      <c r="O10" s="67"/>
      <c r="P10" s="62"/>
      <c r="Q10" s="62"/>
      <c r="R10" s="62"/>
      <c r="S10" s="62"/>
      <c r="T10" s="62"/>
      <c r="U10" s="62"/>
      <c r="V10" s="62"/>
      <c r="W10" s="62"/>
    </row>
    <row r="11" spans="3:30">
      <c r="K11" s="67"/>
      <c r="L11" s="67"/>
      <c r="N11" s="62"/>
      <c r="O11" s="62"/>
      <c r="P11" s="63"/>
      <c r="Q11" s="63"/>
      <c r="R11" s="63"/>
      <c r="S11" s="63"/>
      <c r="T11" s="63"/>
      <c r="U11" s="63"/>
      <c r="V11" s="63"/>
      <c r="W11" s="63"/>
      <c r="X11" s="62"/>
      <c r="Y11" s="62"/>
    </row>
    <row r="12" spans="3:30">
      <c r="K12" s="67"/>
      <c r="L12" s="64"/>
      <c r="M12" s="64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4"/>
      <c r="AA12" s="62"/>
    </row>
    <row r="13" spans="3:30">
      <c r="K13" s="62"/>
      <c r="L13" s="65"/>
      <c r="M13" s="65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5"/>
      <c r="AA13" s="63"/>
      <c r="AB13" s="70"/>
    </row>
    <row r="14" spans="3:30">
      <c r="K14" s="63"/>
      <c r="L14" s="65"/>
      <c r="M14" s="65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5"/>
      <c r="AA14" s="63"/>
      <c r="AB14" s="68"/>
    </row>
    <row r="15" spans="3:30">
      <c r="J15" s="64"/>
      <c r="K15" s="63"/>
      <c r="L15" s="65"/>
      <c r="M15" s="65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5"/>
      <c r="AA15" s="63"/>
      <c r="AB15" s="68"/>
      <c r="AC15" s="62"/>
    </row>
    <row r="16" spans="3:30">
      <c r="I16" s="62"/>
      <c r="J16" s="65"/>
      <c r="K16" s="63"/>
      <c r="L16" s="65"/>
      <c r="M16" s="65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5"/>
      <c r="AA16" s="63"/>
      <c r="AB16" s="68"/>
      <c r="AC16" s="65"/>
      <c r="AD16" s="62"/>
    </row>
    <row r="17" spans="9:34">
      <c r="I17" s="61"/>
      <c r="J17" s="66"/>
      <c r="K17" s="61"/>
      <c r="L17" s="66"/>
      <c r="M17" s="66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6"/>
      <c r="AA17" s="61"/>
      <c r="AB17" s="69"/>
      <c r="AC17" s="66"/>
      <c r="AD17" s="61"/>
    </row>
    <row r="18" spans="9:34">
      <c r="W18" t="s">
        <v>43</v>
      </c>
      <c r="AH18" t="s">
        <v>42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5BB96-B58B-4850-BB1A-1D5BF3A69F44}">
  <sheetPr codeName="Sheet6"/>
  <dimension ref="A1:E117"/>
  <sheetViews>
    <sheetView workbookViewId="0">
      <selection activeCell="B1" sqref="B1"/>
    </sheetView>
  </sheetViews>
  <sheetFormatPr defaultRowHeight="18.75"/>
  <cols>
    <col min="1" max="1" width="13" bestFit="1" customWidth="1"/>
    <col min="2" max="2" width="15.125" bestFit="1" customWidth="1"/>
    <col min="3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62</v>
      </c>
      <c r="C2" s="74" t="s">
        <v>67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53</v>
      </c>
      <c r="C6" s="79">
        <v>0</v>
      </c>
      <c r="D6" t="s">
        <v>57</v>
      </c>
      <c r="E6" s="76" t="s">
        <v>63</v>
      </c>
    </row>
    <row r="7" spans="1:5">
      <c r="B7" t="s">
        <v>54</v>
      </c>
      <c r="C7" s="80">
        <v>100</v>
      </c>
      <c r="E7" s="77" t="s">
        <v>66</v>
      </c>
    </row>
    <row r="8" spans="1:5">
      <c r="B8" t="s">
        <v>55</v>
      </c>
      <c r="C8" s="80">
        <v>100</v>
      </c>
      <c r="E8" s="78" t="s">
        <v>64</v>
      </c>
    </row>
    <row r="9" spans="1:5" ht="19.5" thickBot="1">
      <c r="B9" t="s">
        <v>56</v>
      </c>
      <c r="C9" s="81">
        <v>1000</v>
      </c>
      <c r="D9" t="s">
        <v>57</v>
      </c>
      <c r="E9" s="75" t="s">
        <v>58</v>
      </c>
    </row>
    <row r="10" spans="1:5" ht="19.5" thickBot="1">
      <c r="E10" s="75"/>
    </row>
    <row r="11" spans="1:5">
      <c r="B11" s="82" t="s">
        <v>65</v>
      </c>
      <c r="C11" s="83">
        <f>C7*(C8/C9)</f>
        <v>10</v>
      </c>
      <c r="D11" t="s">
        <v>68</v>
      </c>
      <c r="E11" s="75"/>
    </row>
    <row r="12" spans="1:5" ht="19.5" thickBot="1">
      <c r="B12" s="84" t="s">
        <v>69</v>
      </c>
      <c r="C12" s="85">
        <f>C11*(1-(C8/C9))*((C9-C7)/(C9-1))</f>
        <v>8.1081081081081088</v>
      </c>
    </row>
    <row r="13" spans="1:5">
      <c r="B13" s="67"/>
      <c r="C13" s="67"/>
    </row>
    <row r="14" spans="1:5">
      <c r="A14" t="s">
        <v>53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>_xlfn.HYPGEOM.DIST($C$6+A16, $C$7, $C$8,$C$9, FALSE)</f>
        <v>1.4696838026802162E-5</v>
      </c>
      <c r="C16" s="73">
        <f t="shared" ref="C16:C47" si="0">C15+B16</f>
        <v>1.4696838026802162E-5</v>
      </c>
    </row>
    <row r="17" spans="1:3">
      <c r="A17">
        <v>1</v>
      </c>
      <c r="B17" s="73">
        <f t="shared" ref="B17:B47" si="1">_xlfn.HYPGEOM.DIST($C$6+A17, $C$7, $C$8,$C$9, FALSE)</f>
        <v>1.8348112393011491E-4</v>
      </c>
      <c r="C17" s="73">
        <f t="shared" si="0"/>
        <v>1.9817796195691707E-4</v>
      </c>
    </row>
    <row r="18" spans="1:3">
      <c r="A18">
        <v>2</v>
      </c>
      <c r="B18" s="73">
        <f t="shared" si="1"/>
        <v>1.1211337254607562E-3</v>
      </c>
      <c r="C18" s="73">
        <f t="shared" si="0"/>
        <v>1.3193116874176732E-3</v>
      </c>
    </row>
    <row r="19" spans="1:3">
      <c r="A19">
        <v>3</v>
      </c>
      <c r="B19" s="73">
        <f t="shared" si="1"/>
        <v>4.4696422994292637E-3</v>
      </c>
      <c r="C19" s="73">
        <f t="shared" si="0"/>
        <v>5.788953986846937E-3</v>
      </c>
    </row>
    <row r="20" spans="1:3">
      <c r="A20">
        <v>4</v>
      </c>
      <c r="B20" s="73">
        <f t="shared" si="1"/>
        <v>1.3076761316955857E-2</v>
      </c>
      <c r="C20" s="73">
        <f t="shared" si="0"/>
        <v>1.8865715303802794E-2</v>
      </c>
    </row>
    <row r="21" spans="1:3">
      <c r="A21">
        <v>5</v>
      </c>
      <c r="B21" s="73">
        <f t="shared" si="1"/>
        <v>2.9941722309829836E-2</v>
      </c>
      <c r="C21" s="73">
        <f t="shared" si="0"/>
        <v>4.8807437613632626E-2</v>
      </c>
    </row>
    <row r="22" spans="1:3">
      <c r="A22">
        <v>6</v>
      </c>
      <c r="B22" s="73">
        <f t="shared" si="1"/>
        <v>5.5877593847438942E-2</v>
      </c>
      <c r="C22" s="73">
        <f t="shared" si="0"/>
        <v>0.10468503146107157</v>
      </c>
    </row>
    <row r="23" spans="1:3">
      <c r="A23">
        <v>7</v>
      </c>
      <c r="B23" s="73">
        <f t="shared" si="1"/>
        <v>8.7402092270484774E-2</v>
      </c>
      <c r="C23" s="73">
        <f t="shared" si="0"/>
        <v>0.19208712373155634</v>
      </c>
    </row>
    <row r="24" spans="1:3">
      <c r="A24">
        <v>8</v>
      </c>
      <c r="B24" s="73">
        <f t="shared" si="1"/>
        <v>0.11694627104694073</v>
      </c>
      <c r="C24" s="73">
        <f t="shared" si="0"/>
        <v>0.30903339477849706</v>
      </c>
    </row>
    <row r="25" spans="1:3">
      <c r="A25">
        <v>9</v>
      </c>
      <c r="B25" s="73">
        <f t="shared" si="1"/>
        <v>0.13594743004275528</v>
      </c>
      <c r="C25" s="73">
        <f t="shared" si="0"/>
        <v>0.44498082482125234</v>
      </c>
    </row>
    <row r="26" spans="1:3">
      <c r="A26">
        <v>10</v>
      </c>
      <c r="B26" s="73">
        <f t="shared" si="1"/>
        <v>0.13898526767704494</v>
      </c>
      <c r="C26" s="73">
        <f t="shared" si="0"/>
        <v>0.58396609249829723</v>
      </c>
    </row>
    <row r="27" spans="1:3">
      <c r="A27">
        <v>11</v>
      </c>
      <c r="B27" s="73">
        <f t="shared" si="1"/>
        <v>0.12619444772828853</v>
      </c>
      <c r="C27" s="73">
        <f t="shared" si="0"/>
        <v>0.71016054022658581</v>
      </c>
    </row>
    <row r="28" spans="1:3">
      <c r="A28">
        <v>12</v>
      </c>
      <c r="B28" s="73">
        <f t="shared" si="1"/>
        <v>0.10258479273971358</v>
      </c>
      <c r="C28" s="73">
        <f t="shared" si="0"/>
        <v>0.81274533296629936</v>
      </c>
    </row>
    <row r="29" spans="1:3">
      <c r="A29">
        <v>13</v>
      </c>
      <c r="B29" s="73">
        <f t="shared" si="1"/>
        <v>7.5164787111017733E-2</v>
      </c>
      <c r="C29" s="73">
        <f t="shared" si="0"/>
        <v>0.88791012007731707</v>
      </c>
    </row>
    <row r="30" spans="1:3">
      <c r="A30">
        <v>14</v>
      </c>
      <c r="B30" s="73">
        <f t="shared" si="1"/>
        <v>4.9922979435178282E-2</v>
      </c>
      <c r="C30" s="73">
        <f t="shared" si="0"/>
        <v>0.93783309951249538</v>
      </c>
    </row>
    <row r="31" spans="1:3">
      <c r="A31">
        <v>15</v>
      </c>
      <c r="B31" s="73">
        <f t="shared" si="1"/>
        <v>3.0202892098370425E-2</v>
      </c>
      <c r="C31" s="73">
        <f t="shared" si="0"/>
        <v>0.96803599161086584</v>
      </c>
    </row>
    <row r="32" spans="1:3">
      <c r="A32">
        <v>16</v>
      </c>
      <c r="B32" s="73">
        <f t="shared" si="1"/>
        <v>1.6713840028395127E-2</v>
      </c>
      <c r="C32" s="73">
        <f t="shared" si="0"/>
        <v>0.984749831639261</v>
      </c>
    </row>
    <row r="33" spans="1:3">
      <c r="A33">
        <v>17</v>
      </c>
      <c r="B33" s="73">
        <f t="shared" si="1"/>
        <v>8.491097648524468E-3</v>
      </c>
      <c r="C33" s="73">
        <f t="shared" si="0"/>
        <v>0.99324092928778551</v>
      </c>
    </row>
    <row r="34" spans="1:3">
      <c r="A34">
        <v>18</v>
      </c>
      <c r="B34" s="73">
        <f t="shared" si="1"/>
        <v>3.9727772141187811E-3</v>
      </c>
      <c r="C34" s="73">
        <f t="shared" si="0"/>
        <v>0.99721370650190433</v>
      </c>
    </row>
    <row r="35" spans="1:3">
      <c r="A35">
        <v>19</v>
      </c>
      <c r="B35" s="73">
        <f t="shared" si="1"/>
        <v>1.7166604966091228E-3</v>
      </c>
      <c r="C35" s="73">
        <f t="shared" si="0"/>
        <v>0.99893036699851345</v>
      </c>
    </row>
    <row r="36" spans="1:3">
      <c r="A36">
        <v>20</v>
      </c>
      <c r="B36" s="73">
        <f t="shared" si="1"/>
        <v>6.867688730641772E-4</v>
      </c>
      <c r="C36" s="73">
        <f t="shared" si="0"/>
        <v>0.99961713587157763</v>
      </c>
    </row>
    <row r="37" spans="1:3">
      <c r="A37">
        <v>21</v>
      </c>
      <c r="B37" s="73">
        <f t="shared" si="1"/>
        <v>2.5493421423413576E-4</v>
      </c>
      <c r="C37" s="73">
        <f t="shared" si="0"/>
        <v>0.9998720700858118</v>
      </c>
    </row>
    <row r="38" spans="1:3">
      <c r="A38">
        <v>22</v>
      </c>
      <c r="B38" s="73">
        <f t="shared" si="1"/>
        <v>8.798078030497887E-5</v>
      </c>
      <c r="C38" s="73">
        <f t="shared" si="0"/>
        <v>0.99996005086611683</v>
      </c>
    </row>
    <row r="39" spans="1:3">
      <c r="A39">
        <v>23</v>
      </c>
      <c r="B39" s="73">
        <f t="shared" si="1"/>
        <v>2.8278042547175868E-5</v>
      </c>
      <c r="C39" s="73">
        <f t="shared" si="0"/>
        <v>0.99998832890866396</v>
      </c>
    </row>
    <row r="40" spans="1:3">
      <c r="A40">
        <v>24</v>
      </c>
      <c r="B40" s="73">
        <f t="shared" si="1"/>
        <v>8.4779790787927615E-6</v>
      </c>
      <c r="C40" s="73">
        <f t="shared" si="0"/>
        <v>0.99999680688774273</v>
      </c>
    </row>
    <row r="41" spans="1:3">
      <c r="A41">
        <v>25</v>
      </c>
      <c r="B41" s="73">
        <f t="shared" si="1"/>
        <v>2.3742451955930567E-6</v>
      </c>
      <c r="C41" s="73">
        <f t="shared" si="0"/>
        <v>0.99999918113293829</v>
      </c>
    </row>
    <row r="42" spans="1:3">
      <c r="A42">
        <v>26</v>
      </c>
      <c r="B42" s="73">
        <f t="shared" si="1"/>
        <v>6.2186297379451063E-7</v>
      </c>
      <c r="C42" s="73">
        <f t="shared" si="0"/>
        <v>0.99999980299591207</v>
      </c>
    </row>
    <row r="43" spans="1:3">
      <c r="A43">
        <v>27</v>
      </c>
      <c r="B43" s="73">
        <f t="shared" si="1"/>
        <v>1.5250667940788888E-7</v>
      </c>
      <c r="C43" s="73">
        <f t="shared" si="0"/>
        <v>0.99999995550259146</v>
      </c>
    </row>
    <row r="44" spans="1:3">
      <c r="A44">
        <v>28</v>
      </c>
      <c r="B44" s="73">
        <f t="shared" si="1"/>
        <v>3.5054696970524615E-8</v>
      </c>
      <c r="C44" s="73">
        <f t="shared" si="0"/>
        <v>0.99999999055728839</v>
      </c>
    </row>
    <row r="45" spans="1:3">
      <c r="A45">
        <v>29</v>
      </c>
      <c r="B45" s="73">
        <f t="shared" si="1"/>
        <v>7.5589014223700343E-9</v>
      </c>
      <c r="C45" s="73">
        <f t="shared" si="0"/>
        <v>0.99999999811618978</v>
      </c>
    </row>
    <row r="46" spans="1:3">
      <c r="A46">
        <v>30</v>
      </c>
      <c r="B46" s="73">
        <f t="shared" si="1"/>
        <v>1.5302980751071356E-9</v>
      </c>
      <c r="C46" s="73">
        <f t="shared" si="0"/>
        <v>0.99999999964648789</v>
      </c>
    </row>
    <row r="47" spans="1:3">
      <c r="A47">
        <v>31</v>
      </c>
      <c r="B47" s="73">
        <f t="shared" si="1"/>
        <v>2.9107800815282656E-10</v>
      </c>
      <c r="C47" s="73">
        <f t="shared" si="0"/>
        <v>0.99999999993756594</v>
      </c>
    </row>
    <row r="48" spans="1:3">
      <c r="A48">
        <v>32</v>
      </c>
      <c r="B48" s="73">
        <f t="shared" ref="B48:B79" si="2">_xlfn.HYPGEOM.DIST($C$6+A48, $C$7, $C$8,$C$9, FALSE)</f>
        <v>5.2051622476547426E-11</v>
      </c>
      <c r="C48" s="73">
        <f t="shared" ref="C48:C79" si="3">C47+B48</f>
        <v>0.99999999998961753</v>
      </c>
    </row>
    <row r="49" spans="1:3">
      <c r="A49">
        <v>33</v>
      </c>
      <c r="B49" s="73">
        <f t="shared" si="2"/>
        <v>8.7557460195554163E-12</v>
      </c>
      <c r="C49" s="73">
        <f t="shared" si="3"/>
        <v>0.9999999999983733</v>
      </c>
    </row>
    <row r="50" spans="1:3">
      <c r="A50">
        <v>34</v>
      </c>
      <c r="B50" s="73">
        <f t="shared" si="2"/>
        <v>1.3861103075815938E-12</v>
      </c>
      <c r="C50" s="73">
        <f t="shared" si="3"/>
        <v>0.99999999999975941</v>
      </c>
    </row>
    <row r="51" spans="1:3">
      <c r="A51">
        <v>35</v>
      </c>
      <c r="B51" s="73">
        <f t="shared" si="2"/>
        <v>2.066003934927462E-13</v>
      </c>
      <c r="C51" s="73">
        <f t="shared" si="3"/>
        <v>0.99999999999996603</v>
      </c>
    </row>
    <row r="52" spans="1:3">
      <c r="A52">
        <v>36</v>
      </c>
      <c r="B52" s="73">
        <f t="shared" si="2"/>
        <v>2.9003411167824933E-14</v>
      </c>
      <c r="C52" s="73">
        <f t="shared" si="3"/>
        <v>0.999999999999995</v>
      </c>
    </row>
    <row r="53" spans="1:3">
      <c r="A53">
        <v>37</v>
      </c>
      <c r="B53" s="73">
        <f t="shared" si="2"/>
        <v>3.8360286784658221E-15</v>
      </c>
      <c r="C53" s="73">
        <f t="shared" si="3"/>
        <v>0.99999999999999889</v>
      </c>
    </row>
    <row r="54" spans="1:3">
      <c r="A54">
        <v>38</v>
      </c>
      <c r="B54" s="73">
        <f t="shared" si="2"/>
        <v>4.7811825853632912E-16</v>
      </c>
      <c r="C54" s="73">
        <f t="shared" si="3"/>
        <v>0.99999999999999933</v>
      </c>
    </row>
    <row r="55" spans="1:3">
      <c r="A55">
        <v>39</v>
      </c>
      <c r="B55" s="73">
        <f t="shared" si="2"/>
        <v>5.6168411289804244E-17</v>
      </c>
      <c r="C55" s="73">
        <f t="shared" si="3"/>
        <v>0.99999999999999944</v>
      </c>
    </row>
    <row r="56" spans="1:3">
      <c r="A56">
        <v>40</v>
      </c>
      <c r="B56" s="73">
        <f t="shared" si="2"/>
        <v>6.2203172145642383E-18</v>
      </c>
      <c r="C56" s="73">
        <f t="shared" si="3"/>
        <v>0.99999999999999944</v>
      </c>
    </row>
    <row r="57" spans="1:3">
      <c r="A57">
        <v>41</v>
      </c>
      <c r="B57" s="73">
        <f t="shared" si="2"/>
        <v>6.494342383466614E-19</v>
      </c>
      <c r="C57" s="73">
        <f t="shared" si="3"/>
        <v>0.99999999999999944</v>
      </c>
    </row>
    <row r="58" spans="1:3">
      <c r="A58">
        <v>42</v>
      </c>
      <c r="B58" s="73">
        <f t="shared" si="2"/>
        <v>6.3926042972647932E-20</v>
      </c>
      <c r="C58" s="73">
        <f t="shared" si="3"/>
        <v>0.99999999999999944</v>
      </c>
    </row>
    <row r="59" spans="1:3">
      <c r="A59">
        <v>43</v>
      </c>
      <c r="B59" s="73">
        <f t="shared" si="2"/>
        <v>5.9325004430464092E-21</v>
      </c>
      <c r="C59" s="73">
        <f t="shared" si="3"/>
        <v>0.99999999999999944</v>
      </c>
    </row>
    <row r="60" spans="1:3">
      <c r="A60">
        <v>44</v>
      </c>
      <c r="B60" s="73">
        <f t="shared" si="2"/>
        <v>5.1902988850327588E-22</v>
      </c>
      <c r="C60" s="73">
        <f t="shared" si="3"/>
        <v>0.99999999999999944</v>
      </c>
    </row>
    <row r="61" spans="1:3">
      <c r="A61">
        <v>45</v>
      </c>
      <c r="B61" s="73">
        <f t="shared" si="2"/>
        <v>4.2805462993985403E-23</v>
      </c>
      <c r="C61" s="73">
        <f t="shared" si="3"/>
        <v>0.99999999999999944</v>
      </c>
    </row>
    <row r="62" spans="1:3">
      <c r="A62">
        <v>46</v>
      </c>
      <c r="B62" s="73">
        <f t="shared" si="2"/>
        <v>3.32733388726505E-24</v>
      </c>
      <c r="C62" s="73">
        <f t="shared" si="3"/>
        <v>0.99999999999999944</v>
      </c>
    </row>
    <row r="63" spans="1:3">
      <c r="A63">
        <v>47</v>
      </c>
      <c r="B63" s="73">
        <f t="shared" si="2"/>
        <v>2.4372643410447403E-25</v>
      </c>
      <c r="C63" s="73">
        <f t="shared" si="3"/>
        <v>0.99999999999999944</v>
      </c>
    </row>
    <row r="64" spans="1:3">
      <c r="A64">
        <v>48</v>
      </c>
      <c r="B64" s="73">
        <f t="shared" si="2"/>
        <v>1.6819662770230498E-26</v>
      </c>
      <c r="C64" s="73">
        <f t="shared" si="3"/>
        <v>0.99999999999999944</v>
      </c>
    </row>
    <row r="65" spans="1:3">
      <c r="A65">
        <v>49</v>
      </c>
      <c r="B65" s="73">
        <f t="shared" si="2"/>
        <v>1.0932517999736125E-27</v>
      </c>
      <c r="C65" s="73">
        <f t="shared" si="3"/>
        <v>0.99999999999999944</v>
      </c>
    </row>
    <row r="66" spans="1:3">
      <c r="A66">
        <v>50</v>
      </c>
      <c r="B66" s="73">
        <f t="shared" si="2"/>
        <v>6.6907010158385149E-29</v>
      </c>
      <c r="C66" s="73">
        <f t="shared" si="3"/>
        <v>0.99999999999999944</v>
      </c>
    </row>
    <row r="67" spans="1:3">
      <c r="A67">
        <v>51</v>
      </c>
      <c r="B67" s="73">
        <f t="shared" si="2"/>
        <v>3.8540016450303025E-30</v>
      </c>
      <c r="C67" s="73">
        <f t="shared" si="3"/>
        <v>0.99999999999999944</v>
      </c>
    </row>
    <row r="68" spans="1:3">
      <c r="A68">
        <v>52</v>
      </c>
      <c r="B68" s="73">
        <f t="shared" si="2"/>
        <v>2.0886281034935327E-31</v>
      </c>
      <c r="C68" s="73">
        <f t="shared" si="3"/>
        <v>0.99999999999999944</v>
      </c>
    </row>
    <row r="69" spans="1:3">
      <c r="A69">
        <v>53</v>
      </c>
      <c r="B69" s="73">
        <f t="shared" si="2"/>
        <v>1.0644338849452939E-32</v>
      </c>
      <c r="C69" s="73">
        <f t="shared" si="3"/>
        <v>0.99999999999999944</v>
      </c>
    </row>
    <row r="70" spans="1:3">
      <c r="A70">
        <v>54</v>
      </c>
      <c r="B70" s="73">
        <f t="shared" si="2"/>
        <v>5.0987389449305351E-34</v>
      </c>
      <c r="C70" s="73">
        <f t="shared" si="3"/>
        <v>0.99999999999999944</v>
      </c>
    </row>
    <row r="71" spans="1:3">
      <c r="A71">
        <v>55</v>
      </c>
      <c r="B71" s="73">
        <f t="shared" si="2"/>
        <v>2.2942969925513589E-35</v>
      </c>
      <c r="C71" s="73">
        <f t="shared" si="3"/>
        <v>0.99999999999999944</v>
      </c>
    </row>
    <row r="72" spans="1:3">
      <c r="A72">
        <v>56</v>
      </c>
      <c r="B72" s="73">
        <f t="shared" si="2"/>
        <v>9.6919880881107569E-37</v>
      </c>
      <c r="C72" s="73">
        <f t="shared" si="3"/>
        <v>0.99999999999999944</v>
      </c>
    </row>
    <row r="73" spans="1:3">
      <c r="A73">
        <v>57</v>
      </c>
      <c r="B73" s="73">
        <f t="shared" si="2"/>
        <v>3.8411613213333366E-38</v>
      </c>
      <c r="C73" s="73">
        <f t="shared" si="3"/>
        <v>0.99999999999999944</v>
      </c>
    </row>
    <row r="74" spans="1:3">
      <c r="A74">
        <v>58</v>
      </c>
      <c r="B74" s="73">
        <f t="shared" si="2"/>
        <v>1.4271978303885642E-39</v>
      </c>
      <c r="C74" s="73">
        <f t="shared" si="3"/>
        <v>0.99999999999999944</v>
      </c>
    </row>
    <row r="75" spans="1:3">
      <c r="A75">
        <v>59</v>
      </c>
      <c r="B75" s="73">
        <f t="shared" si="2"/>
        <v>4.96749664135536E-41</v>
      </c>
      <c r="C75" s="73">
        <f t="shared" si="3"/>
        <v>0.99999999999999944</v>
      </c>
    </row>
    <row r="76" spans="1:3">
      <c r="A76">
        <v>60</v>
      </c>
      <c r="B76" s="73">
        <f t="shared" si="2"/>
        <v>1.6182871810307209E-42</v>
      </c>
      <c r="C76" s="73">
        <f t="shared" si="3"/>
        <v>0.99999999999999944</v>
      </c>
    </row>
    <row r="77" spans="1:3">
      <c r="A77">
        <v>61</v>
      </c>
      <c r="B77" s="73">
        <f t="shared" si="2"/>
        <v>4.9299508570841724E-44</v>
      </c>
      <c r="C77" s="73">
        <f t="shared" si="3"/>
        <v>0.99999999999999944</v>
      </c>
    </row>
    <row r="78" spans="1:3">
      <c r="A78">
        <v>62</v>
      </c>
      <c r="B78" s="73">
        <f t="shared" si="2"/>
        <v>1.4030490333105947E-45</v>
      </c>
      <c r="C78" s="73">
        <f t="shared" si="3"/>
        <v>0.99999999999999944</v>
      </c>
    </row>
    <row r="79" spans="1:3">
      <c r="A79">
        <v>63</v>
      </c>
      <c r="B79" s="73">
        <f t="shared" si="2"/>
        <v>3.72639335669301E-47</v>
      </c>
      <c r="C79" s="73">
        <f t="shared" si="3"/>
        <v>0.99999999999999944</v>
      </c>
    </row>
    <row r="80" spans="1:3">
      <c r="A80">
        <v>64</v>
      </c>
      <c r="B80" s="73">
        <f t="shared" ref="B80:B111" si="4">_xlfn.HYPGEOM.DIST($C$6+A80, $C$7, $C$8,$C$9, FALSE)</f>
        <v>9.2256808906844419E-49</v>
      </c>
      <c r="C80" s="73">
        <f t="shared" ref="C80:C111" si="5">C79+B80</f>
        <v>0.99999999999999944</v>
      </c>
    </row>
    <row r="81" spans="1:3">
      <c r="A81">
        <v>65</v>
      </c>
      <c r="B81" s="73">
        <f t="shared" si="4"/>
        <v>2.1265420069945768E-50</v>
      </c>
      <c r="C81" s="73">
        <f t="shared" si="5"/>
        <v>0.99999999999999944</v>
      </c>
    </row>
    <row r="82" spans="1:3">
      <c r="A82">
        <v>66</v>
      </c>
      <c r="B82" s="73">
        <f t="shared" si="4"/>
        <v>4.5577261504798497E-52</v>
      </c>
      <c r="C82" s="73">
        <f t="shared" si="5"/>
        <v>0.99999999999999944</v>
      </c>
    </row>
    <row r="83" spans="1:3">
      <c r="A83">
        <v>67</v>
      </c>
      <c r="B83" s="73">
        <f t="shared" si="4"/>
        <v>9.0701017919998652E-54</v>
      </c>
      <c r="C83" s="73">
        <f t="shared" si="5"/>
        <v>0.99999999999999944</v>
      </c>
    </row>
    <row r="84" spans="1:3">
      <c r="A84">
        <v>68</v>
      </c>
      <c r="B84" s="73">
        <f t="shared" si="4"/>
        <v>1.6734448447221738E-55</v>
      </c>
      <c r="C84" s="73">
        <f t="shared" si="5"/>
        <v>0.99999999999999944</v>
      </c>
    </row>
    <row r="85" spans="1:3">
      <c r="A85">
        <v>69</v>
      </c>
      <c r="B85" s="73">
        <f t="shared" si="4"/>
        <v>2.8578701505902486E-57</v>
      </c>
      <c r="C85" s="73">
        <f t="shared" si="5"/>
        <v>0.99999999999999944</v>
      </c>
    </row>
    <row r="86" spans="1:3">
      <c r="A86">
        <v>70</v>
      </c>
      <c r="B86" s="73">
        <f t="shared" si="4"/>
        <v>4.50970971217953E-59</v>
      </c>
      <c r="C86" s="73">
        <f t="shared" si="5"/>
        <v>0.99999999999999944</v>
      </c>
    </row>
    <row r="87" spans="1:3">
      <c r="A87">
        <v>71</v>
      </c>
      <c r="B87" s="73">
        <f t="shared" si="4"/>
        <v>6.5631841997405693E-61</v>
      </c>
      <c r="C87" s="73">
        <f t="shared" si="5"/>
        <v>0.99999999999999944</v>
      </c>
    </row>
    <row r="88" spans="1:3">
      <c r="A88">
        <v>72</v>
      </c>
      <c r="B88" s="73">
        <f t="shared" si="4"/>
        <v>8.7914722094511613E-63</v>
      </c>
      <c r="C88" s="73">
        <f t="shared" si="5"/>
        <v>0.99999999999999944</v>
      </c>
    </row>
    <row r="89" spans="1:3">
      <c r="A89">
        <v>73</v>
      </c>
      <c r="B89" s="73">
        <f t="shared" si="4"/>
        <v>1.0815349702976235E-64</v>
      </c>
      <c r="C89" s="73">
        <f t="shared" si="5"/>
        <v>0.99999999999999944</v>
      </c>
    </row>
    <row r="90" spans="1:3">
      <c r="A90">
        <v>74</v>
      </c>
      <c r="B90" s="73">
        <f t="shared" si="4"/>
        <v>1.2190596099742504E-66</v>
      </c>
      <c r="C90" s="73">
        <f t="shared" si="5"/>
        <v>0.99999999999999944</v>
      </c>
    </row>
    <row r="91" spans="1:3">
      <c r="A91">
        <v>75</v>
      </c>
      <c r="B91" s="73">
        <f t="shared" si="4"/>
        <v>1.2557474991887378E-68</v>
      </c>
      <c r="C91" s="73">
        <f t="shared" si="5"/>
        <v>0.99999999999999944</v>
      </c>
    </row>
    <row r="92" spans="1:3">
      <c r="A92">
        <v>76</v>
      </c>
      <c r="B92" s="73">
        <f t="shared" si="4"/>
        <v>1.178866538982463E-70</v>
      </c>
      <c r="C92" s="73">
        <f t="shared" si="5"/>
        <v>0.99999999999999944</v>
      </c>
    </row>
    <row r="93" spans="1:3">
      <c r="A93">
        <v>77</v>
      </c>
      <c r="B93" s="73">
        <f t="shared" si="4"/>
        <v>1.0055341060194556E-72</v>
      </c>
      <c r="C93" s="73">
        <f t="shared" si="5"/>
        <v>0.99999999999999944</v>
      </c>
    </row>
    <row r="94" spans="1:3">
      <c r="A94">
        <v>78</v>
      </c>
      <c r="B94" s="73">
        <f t="shared" si="4"/>
        <v>7.7671798096533188E-75</v>
      </c>
      <c r="C94" s="73">
        <f t="shared" si="5"/>
        <v>0.99999999999999944</v>
      </c>
    </row>
    <row r="95" spans="1:3">
      <c r="A95">
        <v>79</v>
      </c>
      <c r="B95" s="73">
        <f t="shared" si="4"/>
        <v>5.4136821587711785E-77</v>
      </c>
      <c r="C95" s="73">
        <f t="shared" si="5"/>
        <v>0.99999999999999944</v>
      </c>
    </row>
    <row r="96" spans="1:3">
      <c r="A96">
        <v>80</v>
      </c>
      <c r="B96" s="73">
        <f t="shared" si="4"/>
        <v>3.3912412386619798E-79</v>
      </c>
      <c r="C96" s="73">
        <f t="shared" si="5"/>
        <v>0.99999999999999944</v>
      </c>
    </row>
    <row r="97" spans="1:3">
      <c r="A97">
        <v>81</v>
      </c>
      <c r="B97" s="73">
        <f t="shared" si="4"/>
        <v>1.9008933387491725E-81</v>
      </c>
      <c r="C97" s="73">
        <f t="shared" si="5"/>
        <v>0.99999999999999944</v>
      </c>
    </row>
    <row r="98" spans="1:3">
      <c r="A98">
        <v>82</v>
      </c>
      <c r="B98" s="73">
        <f t="shared" si="4"/>
        <v>9.4881712196292503E-84</v>
      </c>
      <c r="C98" s="73">
        <f t="shared" si="5"/>
        <v>0.99999999999999944</v>
      </c>
    </row>
    <row r="99" spans="1:3">
      <c r="A99">
        <v>83</v>
      </c>
      <c r="B99" s="73">
        <f t="shared" si="4"/>
        <v>4.1945823727432947E-86</v>
      </c>
      <c r="C99" s="73">
        <f t="shared" si="5"/>
        <v>0.99999999999999944</v>
      </c>
    </row>
    <row r="100" spans="1:3">
      <c r="A100">
        <v>84</v>
      </c>
      <c r="B100" s="73">
        <f t="shared" si="4"/>
        <v>1.6325068758387031E-88</v>
      </c>
      <c r="C100" s="73">
        <f t="shared" si="5"/>
        <v>0.99999999999999944</v>
      </c>
    </row>
    <row r="101" spans="1:3">
      <c r="A101">
        <v>85</v>
      </c>
      <c r="B101" s="73">
        <f t="shared" si="4"/>
        <v>5.5556232663970589E-91</v>
      </c>
      <c r="C101" s="73">
        <f t="shared" si="5"/>
        <v>0.99999999999999944</v>
      </c>
    </row>
    <row r="102" spans="1:3">
      <c r="A102">
        <v>86</v>
      </c>
      <c r="B102" s="73">
        <f t="shared" si="4"/>
        <v>1.6405260577186745E-93</v>
      </c>
      <c r="C102" s="73">
        <f t="shared" si="5"/>
        <v>0.99999999999999944</v>
      </c>
    </row>
    <row r="103" spans="1:3">
      <c r="A103">
        <v>87</v>
      </c>
      <c r="B103" s="73">
        <f t="shared" si="4"/>
        <v>4.166739329431051E-96</v>
      </c>
      <c r="C103" s="73">
        <f t="shared" si="5"/>
        <v>0.99999999999999944</v>
      </c>
    </row>
    <row r="104" spans="1:3">
      <c r="A104">
        <v>88</v>
      </c>
      <c r="B104" s="73">
        <f t="shared" si="4"/>
        <v>9.0112989695159892E-99</v>
      </c>
      <c r="C104" s="73">
        <f t="shared" si="5"/>
        <v>0.99999999999999944</v>
      </c>
    </row>
    <row r="105" spans="1:3">
      <c r="A105">
        <v>89</v>
      </c>
      <c r="B105" s="73">
        <f t="shared" si="4"/>
        <v>1.6400539068138969E-101</v>
      </c>
      <c r="C105" s="73">
        <f t="shared" si="5"/>
        <v>0.99999999999999944</v>
      </c>
    </row>
    <row r="106" spans="1:3">
      <c r="A106">
        <v>90</v>
      </c>
      <c r="B106" s="73">
        <f t="shared" si="4"/>
        <v>2.4774846782083489E-104</v>
      </c>
      <c r="C106" s="73">
        <f t="shared" si="5"/>
        <v>0.99999999999999944</v>
      </c>
    </row>
    <row r="107" spans="1:3">
      <c r="A107">
        <v>91</v>
      </c>
      <c r="B107" s="73">
        <f t="shared" si="4"/>
        <v>3.0555674920245768E-107</v>
      </c>
      <c r="C107" s="73">
        <f t="shared" si="5"/>
        <v>0.99999999999999944</v>
      </c>
    </row>
    <row r="108" spans="1:3">
      <c r="A108">
        <v>92</v>
      </c>
      <c r="B108" s="73">
        <f t="shared" si="4"/>
        <v>3.0159505611958273E-110</v>
      </c>
      <c r="C108" s="73">
        <f t="shared" si="5"/>
        <v>0.99999999999999944</v>
      </c>
    </row>
    <row r="109" spans="1:3">
      <c r="A109">
        <v>93</v>
      </c>
      <c r="B109" s="73">
        <f t="shared" si="4"/>
        <v>2.3241801336143413E-113</v>
      </c>
      <c r="C109" s="73">
        <f t="shared" si="5"/>
        <v>0.99999999999999944</v>
      </c>
    </row>
    <row r="110" spans="1:3">
      <c r="A110">
        <v>94</v>
      </c>
      <c r="B110" s="73">
        <f t="shared" si="4"/>
        <v>1.3551909484875904E-116</v>
      </c>
      <c r="C110" s="73">
        <f t="shared" si="5"/>
        <v>0.99999999999999944</v>
      </c>
    </row>
    <row r="111" spans="1:3">
      <c r="A111">
        <v>95</v>
      </c>
      <c r="B111" s="73">
        <f t="shared" si="4"/>
        <v>5.7379446216468944E-120</v>
      </c>
      <c r="C111" s="73">
        <f t="shared" si="5"/>
        <v>0.99999999999999944</v>
      </c>
    </row>
    <row r="112" spans="1:3">
      <c r="A112">
        <v>96</v>
      </c>
      <c r="B112" s="73">
        <f>_xlfn.HYPGEOM.DIST($C$6+A112, $C$7, $C$8,$C$9, FALSE)</f>
        <v>1.6676968882669761E-123</v>
      </c>
      <c r="C112" s="73">
        <f t="shared" ref="C112:C116" si="6">C111+B112</f>
        <v>0.99999999999999944</v>
      </c>
    </row>
    <row r="113" spans="1:3">
      <c r="A113">
        <v>97</v>
      </c>
      <c r="B113" s="73">
        <f>_xlfn.HYPGEOM.DIST($C$6+A113, $C$7, $C$8,$C$9, FALSE)</f>
        <v>3.0667115140128081E-127</v>
      </c>
      <c r="C113" s="73">
        <f t="shared" si="6"/>
        <v>0.99999999999999944</v>
      </c>
    </row>
    <row r="114" spans="1:3">
      <c r="A114">
        <v>98</v>
      </c>
      <c r="B114" s="73">
        <f>_xlfn.HYPGEOM.DIST($C$6+A114, $C$7, $C$8,$C$9, FALSE)</f>
        <v>3.1362669453788456E-131</v>
      </c>
      <c r="C114" s="73">
        <f t="shared" si="6"/>
        <v>0.99999999999999944</v>
      </c>
    </row>
    <row r="115" spans="1:3">
      <c r="A115">
        <v>99</v>
      </c>
      <c r="B115" s="73">
        <f>_xlfn.HYPGEOM.DIST($C$6+A115, $C$7, $C$8,$C$9, FALSE)</f>
        <v>1.409542340144005E-135</v>
      </c>
      <c r="C115" s="73">
        <f t="shared" si="6"/>
        <v>0.99999999999999944</v>
      </c>
    </row>
    <row r="116" spans="1:3">
      <c r="A116">
        <v>100</v>
      </c>
      <c r="B116" s="73">
        <f>_xlfn.HYPGEOM.DIST($C$6+A116, $C$7, $C$8,$C$9, FALSE)</f>
        <v>1.5661581557156247E-140</v>
      </c>
      <c r="C116" s="73">
        <f t="shared" si="6"/>
        <v>0.99999999999999944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A1E0-C638-44EA-BF89-BE1AEA9E17CE}">
  <sheetPr codeName="Sheet7"/>
  <dimension ref="A1:E117"/>
  <sheetViews>
    <sheetView workbookViewId="0">
      <selection activeCell="B1" sqref="B1"/>
    </sheetView>
  </sheetViews>
  <sheetFormatPr defaultRowHeight="18.75"/>
  <cols>
    <col min="1" max="1" width="11" bestFit="1" customWidth="1"/>
    <col min="2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62</v>
      </c>
      <c r="C2" s="74" t="s">
        <v>78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74</v>
      </c>
      <c r="C6" s="79">
        <v>0</v>
      </c>
      <c r="D6" t="s">
        <v>76</v>
      </c>
      <c r="E6" s="76" t="s">
        <v>75</v>
      </c>
    </row>
    <row r="7" spans="1:5">
      <c r="B7" t="s">
        <v>72</v>
      </c>
      <c r="C7" s="80">
        <v>100</v>
      </c>
      <c r="D7" t="s">
        <v>57</v>
      </c>
      <c r="E7" s="77" t="s">
        <v>77</v>
      </c>
    </row>
    <row r="8" spans="1:5">
      <c r="B8" t="s">
        <v>73</v>
      </c>
      <c r="C8" s="80">
        <v>0.1</v>
      </c>
      <c r="E8" s="78" t="s">
        <v>80</v>
      </c>
    </row>
    <row r="9" spans="1:5" ht="19.5" thickBot="1">
      <c r="C9" s="81"/>
      <c r="E9" s="75"/>
    </row>
    <row r="10" spans="1:5" ht="19.5" thickBot="1">
      <c r="E10" s="75"/>
    </row>
    <row r="11" spans="1:5">
      <c r="B11" s="82" t="s">
        <v>65</v>
      </c>
      <c r="C11" s="83">
        <f>C7*C8</f>
        <v>10</v>
      </c>
      <c r="D11" t="s">
        <v>79</v>
      </c>
      <c r="E11" s="75"/>
    </row>
    <row r="12" spans="1:5" ht="19.5" thickBot="1">
      <c r="B12" s="84" t="s">
        <v>69</v>
      </c>
      <c r="C12" s="85">
        <f>C11*(1-C8)</f>
        <v>9</v>
      </c>
      <c r="D12" t="s">
        <v>81</v>
      </c>
    </row>
    <row r="13" spans="1:5">
      <c r="B13" s="67"/>
      <c r="C13" s="67"/>
    </row>
    <row r="14" spans="1:5">
      <c r="A14" t="s">
        <v>74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 t="shared" ref="B16:B47" si="0">_xlfn.BINOM.DIST($C$6+A16,$C$7,$C$8,FALSE)</f>
        <v>2.6561398887587476E-5</v>
      </c>
      <c r="C16" s="73">
        <f t="shared" ref="C16:C79" si="1">C15+B16</f>
        <v>2.6561398887587476E-5</v>
      </c>
    </row>
    <row r="17" spans="1:3">
      <c r="A17">
        <v>1</v>
      </c>
      <c r="B17" s="73">
        <f t="shared" si="0"/>
        <v>2.9512665430652773E-4</v>
      </c>
      <c r="C17" s="73">
        <f t="shared" si="1"/>
        <v>3.2168805319411522E-4</v>
      </c>
    </row>
    <row r="18" spans="1:3">
      <c r="A18">
        <v>2</v>
      </c>
      <c r="B18" s="73">
        <f t="shared" si="0"/>
        <v>1.6231965986859046E-3</v>
      </c>
      <c r="C18" s="73">
        <f t="shared" si="1"/>
        <v>1.9448846518800198E-3</v>
      </c>
    </row>
    <row r="19" spans="1:3">
      <c r="A19">
        <v>3</v>
      </c>
      <c r="B19" s="73">
        <f t="shared" si="0"/>
        <v>5.8916024693043889E-3</v>
      </c>
      <c r="C19" s="73">
        <f t="shared" si="1"/>
        <v>7.8364871211844093E-3</v>
      </c>
    </row>
    <row r="20" spans="1:3">
      <c r="A20">
        <v>4</v>
      </c>
      <c r="B20" s="73">
        <f t="shared" si="0"/>
        <v>1.5874595542292376E-2</v>
      </c>
      <c r="C20" s="73">
        <f t="shared" si="1"/>
        <v>2.3711082663476785E-2</v>
      </c>
    </row>
    <row r="21" spans="1:3">
      <c r="A21">
        <v>5</v>
      </c>
      <c r="B21" s="73">
        <f t="shared" si="0"/>
        <v>3.3865803823557049E-2</v>
      </c>
      <c r="C21" s="73">
        <f t="shared" si="1"/>
        <v>5.7576886487033838E-2</v>
      </c>
    </row>
    <row r="22" spans="1:3">
      <c r="A22">
        <v>6</v>
      </c>
      <c r="B22" s="73">
        <f t="shared" si="0"/>
        <v>5.9578728948850357E-2</v>
      </c>
      <c r="C22" s="73">
        <f t="shared" si="1"/>
        <v>0.11715561543588419</v>
      </c>
    </row>
    <row r="23" spans="1:3">
      <c r="A23">
        <v>7</v>
      </c>
      <c r="B23" s="73">
        <f t="shared" si="0"/>
        <v>8.889524636812593E-2</v>
      </c>
      <c r="C23" s="73">
        <f t="shared" si="1"/>
        <v>0.20605086180401011</v>
      </c>
    </row>
    <row r="24" spans="1:3">
      <c r="A24">
        <v>8</v>
      </c>
      <c r="B24" s="73">
        <f t="shared" si="0"/>
        <v>0.11482302655882935</v>
      </c>
      <c r="C24" s="73">
        <f t="shared" si="1"/>
        <v>0.32087388836283948</v>
      </c>
    </row>
    <row r="25" spans="1:3">
      <c r="A25">
        <v>9</v>
      </c>
      <c r="B25" s="73">
        <f t="shared" si="0"/>
        <v>0.1304162770791642</v>
      </c>
      <c r="C25" s="73">
        <f t="shared" si="1"/>
        <v>0.45129016544200368</v>
      </c>
    </row>
    <row r="26" spans="1:3">
      <c r="A26">
        <v>10</v>
      </c>
      <c r="B26" s="73">
        <f t="shared" si="0"/>
        <v>0.13186534682448822</v>
      </c>
      <c r="C26" s="73">
        <f t="shared" si="1"/>
        <v>0.58315551226649187</v>
      </c>
    </row>
    <row r="27" spans="1:3">
      <c r="A27">
        <v>11</v>
      </c>
      <c r="B27" s="73">
        <f t="shared" si="0"/>
        <v>0.11987758802226202</v>
      </c>
      <c r="C27" s="73">
        <f t="shared" si="1"/>
        <v>0.70303310028875388</v>
      </c>
    </row>
    <row r="28" spans="1:3">
      <c r="A28">
        <v>12</v>
      </c>
      <c r="B28" s="73">
        <f t="shared" si="0"/>
        <v>9.8788012351678889E-2</v>
      </c>
      <c r="C28" s="73">
        <f t="shared" si="1"/>
        <v>0.80182111264043276</v>
      </c>
    </row>
    <row r="29" spans="1:3">
      <c r="A29">
        <v>13</v>
      </c>
      <c r="B29" s="73">
        <f t="shared" si="0"/>
        <v>7.4302094760237067E-2</v>
      </c>
      <c r="C29" s="73">
        <f t="shared" si="1"/>
        <v>0.87612320740066985</v>
      </c>
    </row>
    <row r="30" spans="1:3">
      <c r="A30">
        <v>14</v>
      </c>
      <c r="B30" s="73">
        <f t="shared" si="0"/>
        <v>5.1303827334449464E-2</v>
      </c>
      <c r="C30" s="73">
        <f t="shared" si="1"/>
        <v>0.92742703473511934</v>
      </c>
    </row>
    <row r="31" spans="1:3">
      <c r="A31">
        <v>15</v>
      </c>
      <c r="B31" s="73">
        <f t="shared" si="0"/>
        <v>3.2682438153797441E-2</v>
      </c>
      <c r="C31" s="73">
        <f t="shared" si="1"/>
        <v>0.96010947288891679</v>
      </c>
    </row>
    <row r="32" spans="1:3">
      <c r="A32">
        <v>16</v>
      </c>
      <c r="B32" s="73">
        <f t="shared" si="0"/>
        <v>1.9291716965783169E-2</v>
      </c>
      <c r="C32" s="73">
        <f t="shared" si="1"/>
        <v>0.97940118985469993</v>
      </c>
    </row>
    <row r="33" spans="1:3">
      <c r="A33">
        <v>17</v>
      </c>
      <c r="B33" s="73">
        <f t="shared" si="0"/>
        <v>1.0591530883175089E-2</v>
      </c>
      <c r="C33" s="73">
        <f t="shared" si="1"/>
        <v>0.98999272073787503</v>
      </c>
    </row>
    <row r="34" spans="1:3">
      <c r="A34">
        <v>18</v>
      </c>
      <c r="B34" s="73">
        <f t="shared" si="0"/>
        <v>5.4265250821205688E-3</v>
      </c>
      <c r="C34" s="73">
        <f t="shared" si="1"/>
        <v>0.99541924581999564</v>
      </c>
    </row>
    <row r="35" spans="1:3">
      <c r="A35">
        <v>19</v>
      </c>
      <c r="B35" s="73">
        <f t="shared" si="0"/>
        <v>2.6021933142332623E-3</v>
      </c>
      <c r="C35" s="73">
        <f t="shared" si="1"/>
        <v>0.99802143913422892</v>
      </c>
    </row>
    <row r="36" spans="1:3">
      <c r="A36">
        <v>20</v>
      </c>
      <c r="B36" s="73">
        <f t="shared" si="0"/>
        <v>1.1709869914049654E-3</v>
      </c>
      <c r="C36" s="73">
        <f t="shared" si="1"/>
        <v>0.99919242612563386</v>
      </c>
    </row>
    <row r="37" spans="1:3">
      <c r="A37">
        <v>21</v>
      </c>
      <c r="B37" s="73">
        <f t="shared" si="0"/>
        <v>4.9565586937776347E-4</v>
      </c>
      <c r="C37" s="73">
        <f t="shared" si="1"/>
        <v>0.99968808199501158</v>
      </c>
    </row>
    <row r="38" spans="1:3">
      <c r="A38">
        <v>22</v>
      </c>
      <c r="B38" s="73">
        <f t="shared" si="0"/>
        <v>1.9776168525678398E-4</v>
      </c>
      <c r="C38" s="73">
        <f t="shared" si="1"/>
        <v>0.99988584368026834</v>
      </c>
    </row>
    <row r="39" spans="1:3">
      <c r="A39">
        <v>23</v>
      </c>
      <c r="B39" s="73">
        <f t="shared" si="0"/>
        <v>7.4518895893861071E-5</v>
      </c>
      <c r="C39" s="73">
        <f t="shared" si="1"/>
        <v>0.99996036257616217</v>
      </c>
    </row>
    <row r="40" spans="1:3">
      <c r="A40">
        <v>24</v>
      </c>
      <c r="B40" s="73">
        <f t="shared" si="0"/>
        <v>2.6564606406607781E-5</v>
      </c>
      <c r="C40" s="73">
        <f t="shared" si="1"/>
        <v>0.99998692718256876</v>
      </c>
    </row>
    <row r="41" spans="1:3">
      <c r="A41">
        <v>25</v>
      </c>
      <c r="B41" s="73">
        <f t="shared" si="0"/>
        <v>8.9729337195652582E-6</v>
      </c>
      <c r="C41" s="73">
        <f t="shared" si="1"/>
        <v>0.99999590011628836</v>
      </c>
    </row>
    <row r="42" spans="1:3">
      <c r="A42">
        <v>26</v>
      </c>
      <c r="B42" s="73">
        <f t="shared" si="0"/>
        <v>2.8759402947324655E-6</v>
      </c>
      <c r="C42" s="73">
        <f t="shared" si="1"/>
        <v>0.99999877605658305</v>
      </c>
    </row>
    <row r="43" spans="1:3">
      <c r="A43">
        <v>27</v>
      </c>
      <c r="B43" s="73">
        <f t="shared" si="0"/>
        <v>8.7580074819013169E-7</v>
      </c>
      <c r="C43" s="73">
        <f t="shared" si="1"/>
        <v>0.9999996518573312</v>
      </c>
    </row>
    <row r="44" spans="1:3">
      <c r="A44">
        <v>28</v>
      </c>
      <c r="B44" s="73">
        <f t="shared" si="0"/>
        <v>2.5370418499158747E-7</v>
      </c>
      <c r="C44" s="73">
        <f t="shared" si="1"/>
        <v>0.99999990556151619</v>
      </c>
    </row>
    <row r="45" spans="1:3">
      <c r="A45">
        <v>29</v>
      </c>
      <c r="B45" s="73">
        <f t="shared" si="0"/>
        <v>6.9987361376989486E-8</v>
      </c>
      <c r="C45" s="73">
        <f t="shared" si="1"/>
        <v>0.99999997554887754</v>
      </c>
    </row>
    <row r="46" spans="1:3">
      <c r="A46">
        <v>30</v>
      </c>
      <c r="B46" s="73">
        <f t="shared" si="0"/>
        <v>1.8404083917652675E-8</v>
      </c>
      <c r="C46" s="73">
        <f t="shared" si="1"/>
        <v>0.99999999395296146</v>
      </c>
    </row>
    <row r="47" spans="1:3">
      <c r="A47">
        <v>31</v>
      </c>
      <c r="B47" s="73">
        <f t="shared" si="0"/>
        <v>4.6175120940347336E-9</v>
      </c>
      <c r="C47" s="73">
        <f t="shared" si="1"/>
        <v>0.9999999985704735</v>
      </c>
    </row>
    <row r="48" spans="1:3">
      <c r="A48">
        <v>32</v>
      </c>
      <c r="B48" s="73">
        <f t="shared" ref="B48:B79" si="2">_xlfn.BINOM.DIST($C$6+A48,$C$7,$C$8,FALSE)</f>
        <v>1.1062789391958223E-9</v>
      </c>
      <c r="C48" s="73">
        <f t="shared" si="1"/>
        <v>0.99999999967675246</v>
      </c>
    </row>
    <row r="49" spans="1:3">
      <c r="A49">
        <v>33</v>
      </c>
      <c r="B49" s="73">
        <f t="shared" si="2"/>
        <v>2.5328945409197227E-10</v>
      </c>
      <c r="C49" s="73">
        <f t="shared" si="1"/>
        <v>0.99999999993004196</v>
      </c>
    </row>
    <row r="50" spans="1:3">
      <c r="A50">
        <v>34</v>
      </c>
      <c r="B50" s="73">
        <f t="shared" si="2"/>
        <v>5.545880203974561E-11</v>
      </c>
      <c r="C50" s="73">
        <f t="shared" si="1"/>
        <v>0.99999999998550071</v>
      </c>
    </row>
    <row r="51" spans="1:3">
      <c r="A51">
        <v>35</v>
      </c>
      <c r="B51" s="73">
        <f t="shared" si="2"/>
        <v>1.1619939474994299E-11</v>
      </c>
      <c r="C51" s="73">
        <f t="shared" si="1"/>
        <v>0.99999999999712064</v>
      </c>
    </row>
    <row r="52" spans="1:3">
      <c r="A52">
        <v>36</v>
      </c>
      <c r="B52" s="73">
        <f t="shared" si="2"/>
        <v>2.3311606971439327E-12</v>
      </c>
      <c r="C52" s="73">
        <f t="shared" si="1"/>
        <v>0.99999999999945177</v>
      </c>
    </row>
    <row r="53" spans="1:3">
      <c r="A53">
        <v>37</v>
      </c>
      <c r="B53" s="73">
        <f t="shared" si="2"/>
        <v>4.4803088473636733E-13</v>
      </c>
      <c r="C53" s="73">
        <f t="shared" si="1"/>
        <v>0.99999999999989986</v>
      </c>
    </row>
    <row r="54" spans="1:3">
      <c r="A54">
        <v>38</v>
      </c>
      <c r="B54" s="73">
        <f t="shared" si="2"/>
        <v>8.2532005083015306E-14</v>
      </c>
      <c r="C54" s="73">
        <f t="shared" si="1"/>
        <v>0.99999999999998235</v>
      </c>
    </row>
    <row r="55" spans="1:3">
      <c r="A55">
        <v>39</v>
      </c>
      <c r="B55" s="73">
        <f t="shared" si="2"/>
        <v>1.4578302892156667E-14</v>
      </c>
      <c r="C55" s="73">
        <f t="shared" si="1"/>
        <v>0.99999999999999689</v>
      </c>
    </row>
    <row r="56" spans="1:3">
      <c r="A56">
        <v>40</v>
      </c>
      <c r="B56" s="73">
        <f t="shared" si="2"/>
        <v>2.4702124345043022E-15</v>
      </c>
      <c r="C56" s="73">
        <f t="shared" si="1"/>
        <v>0.99999999999999933</v>
      </c>
    </row>
    <row r="57" spans="1:3">
      <c r="A57">
        <v>41</v>
      </c>
      <c r="B57" s="73">
        <f t="shared" si="2"/>
        <v>4.0166055845598617E-16</v>
      </c>
      <c r="C57" s="73">
        <f t="shared" si="1"/>
        <v>0.99999999999999978</v>
      </c>
    </row>
    <row r="58" spans="1:3">
      <c r="A58">
        <v>42</v>
      </c>
      <c r="B58" s="73">
        <f t="shared" si="2"/>
        <v>6.2693050129372666E-17</v>
      </c>
      <c r="C58" s="73">
        <f t="shared" si="1"/>
        <v>0.99999999999999989</v>
      </c>
    </row>
    <row r="59" spans="1:3">
      <c r="A59">
        <v>43</v>
      </c>
      <c r="B59" s="73">
        <f t="shared" si="2"/>
        <v>9.3958576421283492E-18</v>
      </c>
      <c r="C59" s="73">
        <f t="shared" si="1"/>
        <v>0.99999999999999989</v>
      </c>
    </row>
    <row r="60" spans="1:3">
      <c r="A60">
        <v>44</v>
      </c>
      <c r="B60" s="73">
        <f t="shared" si="2"/>
        <v>1.3524340545487657E-18</v>
      </c>
      <c r="C60" s="73">
        <f t="shared" si="1"/>
        <v>0.99999999999999989</v>
      </c>
    </row>
    <row r="61" spans="1:3">
      <c r="A61">
        <v>45</v>
      </c>
      <c r="B61" s="73">
        <f t="shared" si="2"/>
        <v>1.8700322729563154E-19</v>
      </c>
      <c r="C61" s="73">
        <f t="shared" si="1"/>
        <v>0.99999999999999989</v>
      </c>
    </row>
    <row r="62" spans="1:3">
      <c r="A62">
        <v>46</v>
      </c>
      <c r="B62" s="73">
        <f t="shared" si="2"/>
        <v>2.4843423916086421E-20</v>
      </c>
      <c r="C62" s="73">
        <f t="shared" si="1"/>
        <v>0.99999999999999989</v>
      </c>
    </row>
    <row r="63" spans="1:3">
      <c r="A63">
        <v>47</v>
      </c>
      <c r="B63" s="73">
        <f t="shared" si="2"/>
        <v>3.1715009254578644E-21</v>
      </c>
      <c r="C63" s="73">
        <f t="shared" si="1"/>
        <v>0.99999999999999989</v>
      </c>
    </row>
    <row r="64" spans="1:3">
      <c r="A64">
        <v>48</v>
      </c>
      <c r="B64" s="73">
        <f t="shared" si="2"/>
        <v>3.8909617835478817E-22</v>
      </c>
      <c r="C64" s="73">
        <f t="shared" si="1"/>
        <v>0.99999999999999989</v>
      </c>
    </row>
    <row r="65" spans="1:3">
      <c r="A65">
        <v>49</v>
      </c>
      <c r="B65" s="73">
        <f t="shared" si="2"/>
        <v>4.587982148401027E-23</v>
      </c>
      <c r="C65" s="73">
        <f t="shared" si="1"/>
        <v>0.99999999999999989</v>
      </c>
    </row>
    <row r="66" spans="1:3">
      <c r="A66">
        <v>50</v>
      </c>
      <c r="B66" s="73">
        <f t="shared" si="2"/>
        <v>5.1997131015211782E-24</v>
      </c>
      <c r="C66" s="73">
        <f t="shared" si="1"/>
        <v>0.99999999999999989</v>
      </c>
    </row>
    <row r="67" spans="1:3">
      <c r="A67">
        <v>51</v>
      </c>
      <c r="B67" s="73">
        <f t="shared" si="2"/>
        <v>5.6641754918532132E-25</v>
      </c>
      <c r="C67" s="73">
        <f t="shared" si="1"/>
        <v>0.99999999999999989</v>
      </c>
    </row>
    <row r="68" spans="1:3">
      <c r="A68">
        <v>52</v>
      </c>
      <c r="B68" s="73">
        <f t="shared" si="2"/>
        <v>5.9304401517266333E-26</v>
      </c>
      <c r="C68" s="73">
        <f t="shared" si="1"/>
        <v>0.99999999999999989</v>
      </c>
    </row>
    <row r="69" spans="1:3">
      <c r="A69">
        <v>53</v>
      </c>
      <c r="B69" s="73">
        <f t="shared" si="2"/>
        <v>5.9677385174607181E-27</v>
      </c>
      <c r="C69" s="73">
        <f t="shared" si="1"/>
        <v>0.99999999999999989</v>
      </c>
    </row>
    <row r="70" spans="1:3">
      <c r="A70">
        <v>54</v>
      </c>
      <c r="B70" s="73">
        <f t="shared" si="2"/>
        <v>5.7712697596842454E-28</v>
      </c>
      <c r="C70" s="73">
        <f t="shared" si="1"/>
        <v>0.99999999999999989</v>
      </c>
    </row>
    <row r="71" spans="1:3">
      <c r="A71">
        <v>55</v>
      </c>
      <c r="B71" s="73">
        <f t="shared" si="2"/>
        <v>5.363200180716623E-29</v>
      </c>
      <c r="C71" s="73">
        <f t="shared" si="1"/>
        <v>0.99999999999999989</v>
      </c>
    </row>
    <row r="72" spans="1:3">
      <c r="A72">
        <v>56</v>
      </c>
      <c r="B72" s="73">
        <f t="shared" si="2"/>
        <v>4.7885715899256424E-30</v>
      </c>
      <c r="C72" s="73">
        <f t="shared" si="1"/>
        <v>0.99999999999999989</v>
      </c>
    </row>
    <row r="73" spans="1:3">
      <c r="A73">
        <v>57</v>
      </c>
      <c r="B73" s="73">
        <f t="shared" si="2"/>
        <v>4.1071569192343688E-31</v>
      </c>
      <c r="C73" s="73">
        <f t="shared" si="1"/>
        <v>0.99999999999999989</v>
      </c>
    </row>
    <row r="74" spans="1:3">
      <c r="A74">
        <v>58</v>
      </c>
      <c r="B74" s="73">
        <f t="shared" si="2"/>
        <v>3.3832901825110975E-32</v>
      </c>
      <c r="C74" s="73">
        <f t="shared" si="1"/>
        <v>0.99999999999999989</v>
      </c>
    </row>
    <row r="75" spans="1:3">
      <c r="A75">
        <v>59</v>
      </c>
      <c r="B75" s="73">
        <f t="shared" si="2"/>
        <v>2.6760487319297037E-33</v>
      </c>
      <c r="C75" s="73">
        <f t="shared" si="1"/>
        <v>0.99999999999999989</v>
      </c>
    </row>
    <row r="76" spans="1:3">
      <c r="A76">
        <v>60</v>
      </c>
      <c r="B76" s="73">
        <f t="shared" si="2"/>
        <v>2.0318147779466289E-34</v>
      </c>
      <c r="C76" s="73">
        <f t="shared" si="1"/>
        <v>0.99999999999999989</v>
      </c>
    </row>
    <row r="77" spans="1:3">
      <c r="A77">
        <v>61</v>
      </c>
      <c r="B77" s="73">
        <f t="shared" si="2"/>
        <v>1.4803750658991942E-35</v>
      </c>
      <c r="C77" s="73">
        <f t="shared" si="1"/>
        <v>0.99999999999999989</v>
      </c>
    </row>
    <row r="78" spans="1:3">
      <c r="A78">
        <v>62</v>
      </c>
      <c r="B78" s="73">
        <f t="shared" si="2"/>
        <v>1.0346707449832798E-36</v>
      </c>
      <c r="C78" s="73">
        <f t="shared" si="1"/>
        <v>0.99999999999999989</v>
      </c>
    </row>
    <row r="79" spans="1:3">
      <c r="A79">
        <v>63</v>
      </c>
      <c r="B79" s="73">
        <f t="shared" si="2"/>
        <v>6.9343012891297561E-38</v>
      </c>
      <c r="C79" s="73">
        <f t="shared" si="1"/>
        <v>0.99999999999999989</v>
      </c>
    </row>
    <row r="80" spans="1:3">
      <c r="A80">
        <v>64</v>
      </c>
      <c r="B80" s="73">
        <f t="shared" ref="B80:B111" si="3">_xlfn.BINOM.DIST($C$6+A80,$C$7,$C$8,FALSE)</f>
        <v>4.4543254808645239E-39</v>
      </c>
      <c r="C80" s="73">
        <f t="shared" ref="C80:C116" si="4">C79+B80</f>
        <v>0.99999999999999989</v>
      </c>
    </row>
    <row r="81" spans="1:3">
      <c r="A81">
        <v>65</v>
      </c>
      <c r="B81" s="73">
        <f t="shared" si="3"/>
        <v>2.7411233728397261E-40</v>
      </c>
      <c r="C81" s="73">
        <f t="shared" si="4"/>
        <v>0.99999999999999989</v>
      </c>
    </row>
    <row r="82" spans="1:3">
      <c r="A82">
        <v>66</v>
      </c>
      <c r="B82" s="73">
        <f t="shared" si="3"/>
        <v>1.6151400345015282E-41</v>
      </c>
      <c r="C82" s="73">
        <f t="shared" si="4"/>
        <v>0.99999999999999989</v>
      </c>
    </row>
    <row r="83" spans="1:3">
      <c r="A83">
        <v>67</v>
      </c>
      <c r="B83" s="73">
        <f t="shared" si="3"/>
        <v>9.1069255676700303E-43</v>
      </c>
      <c r="C83" s="73">
        <f t="shared" si="4"/>
        <v>0.99999999999999989</v>
      </c>
    </row>
    <row r="84" spans="1:3">
      <c r="A84">
        <v>68</v>
      </c>
      <c r="B84" s="73">
        <f t="shared" si="3"/>
        <v>4.9105971198221842E-44</v>
      </c>
      <c r="C84" s="73">
        <f t="shared" si="4"/>
        <v>0.99999999999999989</v>
      </c>
    </row>
    <row r="85" spans="1:3">
      <c r="A85">
        <v>69</v>
      </c>
      <c r="B85" s="73">
        <f t="shared" si="3"/>
        <v>2.5304204160113902E-45</v>
      </c>
      <c r="C85" s="73">
        <f t="shared" si="4"/>
        <v>0.99999999999999989</v>
      </c>
    </row>
    <row r="86" spans="1:3">
      <c r="A86">
        <v>70</v>
      </c>
      <c r="B86" s="73">
        <f t="shared" si="3"/>
        <v>1.245127506291343E-46</v>
      </c>
      <c r="C86" s="73">
        <f t="shared" si="4"/>
        <v>0.99999999999999989</v>
      </c>
    </row>
    <row r="87" spans="1:3">
      <c r="A87">
        <v>71</v>
      </c>
      <c r="B87" s="73">
        <f t="shared" si="3"/>
        <v>5.8456690436213078E-48</v>
      </c>
      <c r="C87" s="73">
        <f t="shared" si="4"/>
        <v>0.99999999999999989</v>
      </c>
    </row>
    <row r="88" spans="1:3">
      <c r="A88">
        <v>72</v>
      </c>
      <c r="B88" s="73">
        <f t="shared" si="3"/>
        <v>2.6161173189045807E-49</v>
      </c>
      <c r="C88" s="73">
        <f t="shared" si="4"/>
        <v>0.99999999999999989</v>
      </c>
    </row>
    <row r="89" spans="1:3">
      <c r="A89">
        <v>73</v>
      </c>
      <c r="B89" s="73">
        <f t="shared" si="3"/>
        <v>1.114935843673196E-50</v>
      </c>
      <c r="C89" s="73">
        <f t="shared" si="4"/>
        <v>0.99999999999999989</v>
      </c>
    </row>
    <row r="90" spans="1:3">
      <c r="A90">
        <v>74</v>
      </c>
      <c r="B90" s="73">
        <f t="shared" si="3"/>
        <v>4.5200101770534302E-52</v>
      </c>
      <c r="C90" s="73">
        <f t="shared" si="4"/>
        <v>0.99999999999999989</v>
      </c>
    </row>
    <row r="91" spans="1:3">
      <c r="A91">
        <v>75</v>
      </c>
      <c r="B91" s="73">
        <f t="shared" si="3"/>
        <v>1.7410409570873E-53</v>
      </c>
      <c r="C91" s="73">
        <f t="shared" si="4"/>
        <v>0.99999999999999989</v>
      </c>
    </row>
    <row r="92" spans="1:3">
      <c r="A92">
        <v>76</v>
      </c>
      <c r="B92" s="73">
        <f t="shared" si="3"/>
        <v>6.3634537905236743E-55</v>
      </c>
      <c r="C92" s="73">
        <f t="shared" si="4"/>
        <v>0.99999999999999989</v>
      </c>
    </row>
    <row r="93" spans="1:3">
      <c r="A93">
        <v>77</v>
      </c>
      <c r="B93" s="73">
        <f t="shared" si="3"/>
        <v>2.2037935205276515E-56</v>
      </c>
      <c r="C93" s="73">
        <f t="shared" si="4"/>
        <v>0.99999999999999989</v>
      </c>
    </row>
    <row r="94" spans="1:3">
      <c r="A94">
        <v>78</v>
      </c>
      <c r="B94" s="73">
        <f t="shared" si="3"/>
        <v>7.2204061213869564E-58</v>
      </c>
      <c r="C94" s="73">
        <f t="shared" si="4"/>
        <v>0.99999999999999989</v>
      </c>
    </row>
    <row r="95" spans="1:3">
      <c r="A95">
        <v>79</v>
      </c>
      <c r="B95" s="73">
        <f t="shared" si="3"/>
        <v>2.2341622316527636E-59</v>
      </c>
      <c r="C95" s="73">
        <f t="shared" si="4"/>
        <v>0.99999999999999989</v>
      </c>
    </row>
    <row r="96" spans="1:3">
      <c r="A96">
        <v>80</v>
      </c>
      <c r="B96" s="73">
        <f t="shared" si="3"/>
        <v>6.5163065089875096E-61</v>
      </c>
      <c r="C96" s="73">
        <f t="shared" si="4"/>
        <v>0.99999999999999989</v>
      </c>
    </row>
    <row r="97" spans="1:3">
      <c r="A97">
        <v>81</v>
      </c>
      <c r="B97" s="73">
        <f t="shared" si="3"/>
        <v>1.7877384112448034E-62</v>
      </c>
      <c r="C97" s="73">
        <f t="shared" si="4"/>
        <v>0.99999999999999989</v>
      </c>
    </row>
    <row r="98" spans="1:3">
      <c r="A98">
        <v>82</v>
      </c>
      <c r="B98" s="73">
        <f t="shared" si="3"/>
        <v>4.6025785655353375E-64</v>
      </c>
      <c r="C98" s="73">
        <f t="shared" si="4"/>
        <v>0.99999999999999989</v>
      </c>
    </row>
    <row r="99" spans="1:3">
      <c r="A99">
        <v>83</v>
      </c>
      <c r="B99" s="73">
        <f t="shared" si="3"/>
        <v>1.1090550760326037E-65</v>
      </c>
      <c r="C99" s="73">
        <f t="shared" si="4"/>
        <v>0.99999999999999989</v>
      </c>
    </row>
    <row r="100" spans="1:3">
      <c r="A100">
        <v>84</v>
      </c>
      <c r="B100" s="73">
        <f t="shared" si="3"/>
        <v>2.4939069170045814E-67</v>
      </c>
      <c r="C100" s="73">
        <f t="shared" si="4"/>
        <v>0.99999999999999989</v>
      </c>
    </row>
    <row r="101" spans="1:3">
      <c r="A101">
        <v>85</v>
      </c>
      <c r="B101" s="73">
        <f t="shared" si="3"/>
        <v>5.2160144669377636E-69</v>
      </c>
      <c r="C101" s="73">
        <f t="shared" si="4"/>
        <v>0.99999999999999989</v>
      </c>
    </row>
    <row r="102" spans="1:3">
      <c r="A102">
        <v>86</v>
      </c>
      <c r="B102" s="73">
        <f t="shared" si="3"/>
        <v>1.010855516848429E-70</v>
      </c>
      <c r="C102" s="73">
        <f t="shared" si="4"/>
        <v>0.99999999999999989</v>
      </c>
    </row>
    <row r="103" spans="1:3">
      <c r="A103">
        <v>87</v>
      </c>
      <c r="B103" s="73">
        <f t="shared" si="3"/>
        <v>1.8074045001120615E-72</v>
      </c>
      <c r="C103" s="73">
        <f t="shared" si="4"/>
        <v>0.99999999999999989</v>
      </c>
    </row>
    <row r="104" spans="1:3">
      <c r="A104">
        <v>88</v>
      </c>
      <c r="B104" s="73">
        <f t="shared" si="3"/>
        <v>2.9666993057394377E-74</v>
      </c>
      <c r="C104" s="73">
        <f t="shared" si="4"/>
        <v>0.99999999999999989</v>
      </c>
    </row>
    <row r="105" spans="1:3">
      <c r="A105">
        <v>89</v>
      </c>
      <c r="B105" s="73">
        <f t="shared" si="3"/>
        <v>4.4444933419318628E-76</v>
      </c>
      <c r="C105" s="73">
        <f t="shared" si="4"/>
        <v>0.99999999999999989</v>
      </c>
    </row>
    <row r="106" spans="1:3">
      <c r="A106">
        <v>90</v>
      </c>
      <c r="B106" s="73">
        <f t="shared" si="3"/>
        <v>6.0357316989197273E-78</v>
      </c>
      <c r="C106" s="73">
        <f t="shared" si="4"/>
        <v>0.99999999999999989</v>
      </c>
    </row>
    <row r="107" spans="1:3">
      <c r="A107">
        <v>91</v>
      </c>
      <c r="B107" s="73">
        <f t="shared" si="3"/>
        <v>7.3696357740169999E-80</v>
      </c>
      <c r="C107" s="73">
        <f t="shared" si="4"/>
        <v>0.99999999999999989</v>
      </c>
    </row>
    <row r="108" spans="1:3">
      <c r="A108">
        <v>92</v>
      </c>
      <c r="B108" s="73">
        <f t="shared" si="3"/>
        <v>8.0104736674095456E-82</v>
      </c>
      <c r="C108" s="73">
        <f t="shared" si="4"/>
        <v>0.99999999999999989</v>
      </c>
    </row>
    <row r="109" spans="1:3">
      <c r="A109">
        <v>93</v>
      </c>
      <c r="B109" s="73">
        <f t="shared" si="3"/>
        <v>7.6563667072015817E-84</v>
      </c>
      <c r="C109" s="73">
        <f t="shared" si="4"/>
        <v>0.99999999999999989</v>
      </c>
    </row>
    <row r="110" spans="1:3">
      <c r="A110">
        <v>94</v>
      </c>
      <c r="B110" s="73">
        <f t="shared" si="3"/>
        <v>6.3350551950838622E-86</v>
      </c>
      <c r="C110" s="73">
        <f t="shared" si="4"/>
        <v>0.99999999999999989</v>
      </c>
    </row>
    <row r="111" spans="1:3">
      <c r="A111">
        <v>95</v>
      </c>
      <c r="B111" s="73">
        <f t="shared" si="3"/>
        <v>4.445652768479891E-88</v>
      </c>
      <c r="C111" s="73">
        <f t="shared" si="4"/>
        <v>0.99999999999999989</v>
      </c>
    </row>
    <row r="112" spans="1:3">
      <c r="A112">
        <v>96</v>
      </c>
      <c r="B112" s="73">
        <f t="shared" ref="B112:B116" si="5">_xlfn.BINOM.DIST($C$6+A112,$C$7,$C$8,FALSE)</f>
        <v>2.5727157224999704E-90</v>
      </c>
      <c r="C112" s="73">
        <f t="shared" si="4"/>
        <v>0.99999999999999989</v>
      </c>
    </row>
    <row r="113" spans="1:3">
      <c r="A113">
        <v>97</v>
      </c>
      <c r="B113" s="73">
        <f t="shared" si="5"/>
        <v>1.1787930000000177E-92</v>
      </c>
      <c r="C113" s="73">
        <f t="shared" si="4"/>
        <v>0.99999999999999989</v>
      </c>
    </row>
    <row r="114" spans="1:3">
      <c r="A114">
        <v>98</v>
      </c>
      <c r="B114" s="73">
        <f t="shared" si="5"/>
        <v>4.0094999999999102E-95</v>
      </c>
      <c r="C114" s="73">
        <f t="shared" si="4"/>
        <v>0.99999999999999989</v>
      </c>
    </row>
    <row r="115" spans="1:3">
      <c r="A115">
        <v>99</v>
      </c>
      <c r="B115" s="73">
        <f t="shared" si="5"/>
        <v>8.999999999999935E-98</v>
      </c>
      <c r="C115" s="73">
        <f t="shared" si="4"/>
        <v>0.99999999999999989</v>
      </c>
    </row>
    <row r="116" spans="1:3">
      <c r="A116">
        <v>100</v>
      </c>
      <c r="B116" s="73">
        <f t="shared" si="5"/>
        <v>1.0000000000000174E-100</v>
      </c>
      <c r="C116" s="73">
        <f t="shared" si="4"/>
        <v>0.99999999999999989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827AC-7BB9-443F-BC2C-6F40F7C40E33}">
  <sheetPr codeName="Sheet8"/>
  <dimension ref="A1:E117"/>
  <sheetViews>
    <sheetView workbookViewId="0">
      <selection activeCell="B1" sqref="B1"/>
    </sheetView>
  </sheetViews>
  <sheetFormatPr defaultRowHeight="18.75"/>
  <cols>
    <col min="1" max="1" width="11" bestFit="1" customWidth="1"/>
    <col min="2" max="2" width="19.25" bestFit="1" customWidth="1"/>
    <col min="3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88</v>
      </c>
      <c r="C2" s="74" t="s">
        <v>86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84</v>
      </c>
      <c r="C6" s="79">
        <v>0</v>
      </c>
      <c r="D6" t="s">
        <v>76</v>
      </c>
      <c r="E6" s="76" t="s">
        <v>82</v>
      </c>
    </row>
    <row r="7" spans="1:5">
      <c r="B7" t="s">
        <v>83</v>
      </c>
      <c r="C7" s="80">
        <v>60</v>
      </c>
      <c r="D7" t="s">
        <v>57</v>
      </c>
      <c r="E7" s="77" t="s">
        <v>85</v>
      </c>
    </row>
    <row r="8" spans="1:5">
      <c r="C8" s="80"/>
      <c r="E8" s="78"/>
    </row>
    <row r="9" spans="1:5" ht="19.5" thickBot="1">
      <c r="C9" s="81"/>
      <c r="E9" s="75"/>
    </row>
    <row r="10" spans="1:5" ht="19.5" thickBot="1">
      <c r="E10" s="75"/>
    </row>
    <row r="11" spans="1:5">
      <c r="B11" s="82" t="s">
        <v>65</v>
      </c>
      <c r="C11" s="83">
        <f>C7</f>
        <v>60</v>
      </c>
      <c r="D11" t="s">
        <v>87</v>
      </c>
      <c r="E11" s="75"/>
    </row>
    <row r="12" spans="1:5" ht="19.5" thickBot="1">
      <c r="B12" s="84" t="s">
        <v>69</v>
      </c>
      <c r="C12" s="85">
        <f>C7</f>
        <v>60</v>
      </c>
    </row>
    <row r="13" spans="1:5">
      <c r="B13" s="67"/>
      <c r="C13" s="67"/>
    </row>
    <row r="14" spans="1:5">
      <c r="A14" t="s">
        <v>74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 t="shared" ref="B16:B47" si="0">_xlfn.POISSON.DIST($C$6+A16,$C$7,FALSE)</f>
        <v>8.75651076269652E-27</v>
      </c>
      <c r="C16" s="73">
        <f t="shared" ref="C16:C79" si="1">C15+B16</f>
        <v>8.75651076269652E-27</v>
      </c>
    </row>
    <row r="17" spans="1:3">
      <c r="A17">
        <v>1</v>
      </c>
      <c r="B17" s="73">
        <f t="shared" si="0"/>
        <v>5.2539064576179108E-25</v>
      </c>
      <c r="C17" s="73">
        <f t="shared" si="1"/>
        <v>5.3414715652448756E-25</v>
      </c>
    </row>
    <row r="18" spans="1:3">
      <c r="A18">
        <v>2</v>
      </c>
      <c r="B18" s="73">
        <f t="shared" si="0"/>
        <v>1.5761719372853651E-23</v>
      </c>
      <c r="C18" s="73">
        <f t="shared" si="1"/>
        <v>1.6295866529378139E-23</v>
      </c>
    </row>
    <row r="19" spans="1:3">
      <c r="A19">
        <v>3</v>
      </c>
      <c r="B19" s="73">
        <f t="shared" si="0"/>
        <v>3.152343874570744E-22</v>
      </c>
      <c r="C19" s="73">
        <f t="shared" si="1"/>
        <v>3.3153025398645255E-22</v>
      </c>
    </row>
    <row r="20" spans="1:3">
      <c r="A20">
        <v>4</v>
      </c>
      <c r="B20" s="73">
        <f t="shared" si="0"/>
        <v>4.728515811856133E-21</v>
      </c>
      <c r="C20" s="73">
        <f t="shared" si="1"/>
        <v>5.0600460658425852E-21</v>
      </c>
    </row>
    <row r="21" spans="1:3">
      <c r="A21">
        <v>5</v>
      </c>
      <c r="B21" s="73">
        <f t="shared" si="0"/>
        <v>5.6742189742273632E-20</v>
      </c>
      <c r="C21" s="73">
        <f t="shared" si="1"/>
        <v>6.1802235808116223E-20</v>
      </c>
    </row>
    <row r="22" spans="1:3">
      <c r="A22">
        <v>6</v>
      </c>
      <c r="B22" s="73">
        <f t="shared" si="0"/>
        <v>5.6742189742273411E-19</v>
      </c>
      <c r="C22" s="73">
        <f t="shared" si="1"/>
        <v>6.2922413323085033E-19</v>
      </c>
    </row>
    <row r="23" spans="1:3">
      <c r="A23">
        <v>7</v>
      </c>
      <c r="B23" s="73">
        <f t="shared" si="0"/>
        <v>4.8636162636234339E-18</v>
      </c>
      <c r="C23" s="73">
        <f t="shared" si="1"/>
        <v>5.4928403968542843E-18</v>
      </c>
    </row>
    <row r="24" spans="1:3">
      <c r="A24">
        <v>8</v>
      </c>
      <c r="B24" s="73">
        <f t="shared" si="0"/>
        <v>3.6477121977175906E-17</v>
      </c>
      <c r="C24" s="73">
        <f t="shared" si="1"/>
        <v>4.1969962374030193E-17</v>
      </c>
    </row>
    <row r="25" spans="1:3">
      <c r="A25">
        <v>9</v>
      </c>
      <c r="B25" s="73">
        <f t="shared" si="0"/>
        <v>2.4318081318117187E-16</v>
      </c>
      <c r="C25" s="73">
        <f t="shared" si="1"/>
        <v>2.8515077555520205E-16</v>
      </c>
    </row>
    <row r="26" spans="1:3">
      <c r="A26">
        <v>10</v>
      </c>
      <c r="B26" s="73">
        <f t="shared" si="0"/>
        <v>1.459084879087027E-15</v>
      </c>
      <c r="C26" s="73">
        <f t="shared" si="1"/>
        <v>1.744235654642229E-15</v>
      </c>
    </row>
    <row r="27" spans="1:3">
      <c r="A27">
        <v>11</v>
      </c>
      <c r="B27" s="73">
        <f t="shared" si="0"/>
        <v>7.9586447950201824E-15</v>
      </c>
      <c r="C27" s="73">
        <f t="shared" si="1"/>
        <v>9.7028804496624112E-15</v>
      </c>
    </row>
    <row r="28" spans="1:3">
      <c r="A28">
        <v>12</v>
      </c>
      <c r="B28" s="73">
        <f t="shared" si="0"/>
        <v>3.9793223975100729E-14</v>
      </c>
      <c r="C28" s="73">
        <f t="shared" si="1"/>
        <v>4.9496104424763137E-14</v>
      </c>
    </row>
    <row r="29" spans="1:3">
      <c r="A29">
        <v>13</v>
      </c>
      <c r="B29" s="73">
        <f t="shared" si="0"/>
        <v>1.8366103373123481E-13</v>
      </c>
      <c r="C29" s="73">
        <f t="shared" si="1"/>
        <v>2.3315713815599795E-13</v>
      </c>
    </row>
    <row r="30" spans="1:3">
      <c r="A30">
        <v>14</v>
      </c>
      <c r="B30" s="73">
        <f t="shared" si="0"/>
        <v>7.8711871599100546E-13</v>
      </c>
      <c r="C30" s="73">
        <f t="shared" si="1"/>
        <v>1.0202758541470034E-12</v>
      </c>
    </row>
    <row r="31" spans="1:3">
      <c r="A31">
        <v>15</v>
      </c>
      <c r="B31" s="73">
        <f t="shared" si="0"/>
        <v>3.1484748639640174E-12</v>
      </c>
      <c r="C31" s="73">
        <f t="shared" si="1"/>
        <v>4.1687507181110205E-12</v>
      </c>
    </row>
    <row r="32" spans="1:3">
      <c r="A32">
        <v>16</v>
      </c>
      <c r="B32" s="73">
        <f t="shared" si="0"/>
        <v>1.1806780739865109E-11</v>
      </c>
      <c r="C32" s="73">
        <f t="shared" si="1"/>
        <v>1.5975531457976131E-11</v>
      </c>
    </row>
    <row r="33" spans="1:3">
      <c r="A33">
        <v>17</v>
      </c>
      <c r="B33" s="73">
        <f t="shared" si="0"/>
        <v>4.1670990846582851E-11</v>
      </c>
      <c r="C33" s="73">
        <f t="shared" si="1"/>
        <v>5.7646522304558982E-11</v>
      </c>
    </row>
    <row r="34" spans="1:3">
      <c r="A34">
        <v>18</v>
      </c>
      <c r="B34" s="73">
        <f t="shared" si="0"/>
        <v>1.3890330282194243E-10</v>
      </c>
      <c r="C34" s="73">
        <f t="shared" si="1"/>
        <v>1.9654982512650141E-10</v>
      </c>
    </row>
    <row r="35" spans="1:3">
      <c r="A35">
        <v>19</v>
      </c>
      <c r="B35" s="73">
        <f t="shared" si="0"/>
        <v>4.386420089113977E-10</v>
      </c>
      <c r="C35" s="73">
        <f t="shared" si="1"/>
        <v>6.3519183403789916E-10</v>
      </c>
    </row>
    <row r="36" spans="1:3">
      <c r="A36">
        <v>20</v>
      </c>
      <c r="B36" s="73">
        <f t="shared" si="0"/>
        <v>1.315926026734193E-9</v>
      </c>
      <c r="C36" s="73">
        <f t="shared" si="1"/>
        <v>1.9511178607720922E-9</v>
      </c>
    </row>
    <row r="37" spans="1:3">
      <c r="A37">
        <v>21</v>
      </c>
      <c r="B37" s="73">
        <f t="shared" si="0"/>
        <v>3.7597886478119847E-9</v>
      </c>
      <c r="C37" s="73">
        <f t="shared" si="1"/>
        <v>5.7109065085840774E-9</v>
      </c>
    </row>
    <row r="38" spans="1:3">
      <c r="A38">
        <v>22</v>
      </c>
      <c r="B38" s="73">
        <f t="shared" si="0"/>
        <v>1.0253969039487166E-8</v>
      </c>
      <c r="C38" s="73">
        <f t="shared" si="1"/>
        <v>1.5964875548071243E-8</v>
      </c>
    </row>
    <row r="39" spans="1:3">
      <c r="A39">
        <v>23</v>
      </c>
      <c r="B39" s="73">
        <f t="shared" si="0"/>
        <v>2.6749484450836144E-8</v>
      </c>
      <c r="C39" s="73">
        <f t="shared" si="1"/>
        <v>4.2714359998907384E-8</v>
      </c>
    </row>
    <row r="40" spans="1:3">
      <c r="A40">
        <v>24</v>
      </c>
      <c r="B40" s="73">
        <f t="shared" si="0"/>
        <v>6.6873711127090178E-8</v>
      </c>
      <c r="C40" s="73">
        <f t="shared" si="1"/>
        <v>1.0958807112599756E-7</v>
      </c>
    </row>
    <row r="41" spans="1:3">
      <c r="A41">
        <v>25</v>
      </c>
      <c r="B41" s="73">
        <f t="shared" si="0"/>
        <v>1.604969067050164E-7</v>
      </c>
      <c r="C41" s="73">
        <f t="shared" si="1"/>
        <v>2.7008497783101396E-7</v>
      </c>
    </row>
    <row r="42" spans="1:3">
      <c r="A42">
        <v>26</v>
      </c>
      <c r="B42" s="73">
        <f t="shared" si="0"/>
        <v>3.7037747701157785E-7</v>
      </c>
      <c r="C42" s="73">
        <f t="shared" si="1"/>
        <v>6.4046245484259176E-7</v>
      </c>
    </row>
    <row r="43" spans="1:3">
      <c r="A43">
        <v>27</v>
      </c>
      <c r="B43" s="73">
        <f t="shared" si="0"/>
        <v>8.2306106002572851E-7</v>
      </c>
      <c r="C43" s="73">
        <f t="shared" si="1"/>
        <v>1.4635235148683202E-6</v>
      </c>
    </row>
    <row r="44" spans="1:3">
      <c r="A44">
        <v>28</v>
      </c>
      <c r="B44" s="73">
        <f t="shared" si="0"/>
        <v>1.7637022714836967E-6</v>
      </c>
      <c r="C44" s="73">
        <f t="shared" si="1"/>
        <v>3.2272257863520171E-6</v>
      </c>
    </row>
    <row r="45" spans="1:3">
      <c r="A45">
        <v>29</v>
      </c>
      <c r="B45" s="73">
        <f t="shared" si="0"/>
        <v>3.649039182380066E-6</v>
      </c>
      <c r="C45" s="73">
        <f t="shared" si="1"/>
        <v>6.8762649687320835E-6</v>
      </c>
    </row>
    <row r="46" spans="1:3">
      <c r="A46">
        <v>30</v>
      </c>
      <c r="B46" s="73">
        <f t="shared" si="0"/>
        <v>7.2980783647601396E-6</v>
      </c>
      <c r="C46" s="73">
        <f t="shared" si="1"/>
        <v>1.4174343333492223E-5</v>
      </c>
    </row>
    <row r="47" spans="1:3">
      <c r="A47">
        <v>31</v>
      </c>
      <c r="B47" s="73">
        <f t="shared" si="0"/>
        <v>1.4125312964051856E-5</v>
      </c>
      <c r="C47" s="73">
        <f t="shared" si="1"/>
        <v>2.8299656297544079E-5</v>
      </c>
    </row>
    <row r="48" spans="1:3">
      <c r="A48">
        <v>32</v>
      </c>
      <c r="B48" s="73">
        <f t="shared" ref="B48:B79" si="2">_xlfn.POISSON.DIST($C$6+A48,$C$7,FALSE)</f>
        <v>2.6484961807597371E-5</v>
      </c>
      <c r="C48" s="73">
        <f t="shared" si="1"/>
        <v>5.4784618105141447E-5</v>
      </c>
    </row>
    <row r="49" spans="1:3">
      <c r="A49">
        <v>33</v>
      </c>
      <c r="B49" s="73">
        <f t="shared" si="2"/>
        <v>4.81544760138133E-5</v>
      </c>
      <c r="C49" s="73">
        <f t="shared" si="1"/>
        <v>1.0293909411895475E-4</v>
      </c>
    </row>
    <row r="50" spans="1:3">
      <c r="A50">
        <v>34</v>
      </c>
      <c r="B50" s="73">
        <f t="shared" si="2"/>
        <v>8.497848708319989E-5</v>
      </c>
      <c r="C50" s="73">
        <f t="shared" si="1"/>
        <v>1.8791758120215464E-4</v>
      </c>
    </row>
    <row r="51" spans="1:3">
      <c r="A51">
        <v>35</v>
      </c>
      <c r="B51" s="73">
        <f t="shared" si="2"/>
        <v>1.4567740642834194E-4</v>
      </c>
      <c r="C51" s="73">
        <f t="shared" si="1"/>
        <v>3.3359498763049658E-4</v>
      </c>
    </row>
    <row r="52" spans="1:3">
      <c r="A52">
        <v>36</v>
      </c>
      <c r="B52" s="73">
        <f t="shared" si="2"/>
        <v>2.4279567738057136E-4</v>
      </c>
      <c r="C52" s="73">
        <f t="shared" si="1"/>
        <v>5.7639066501106789E-4</v>
      </c>
    </row>
    <row r="53" spans="1:3">
      <c r="A53">
        <v>37</v>
      </c>
      <c r="B53" s="73">
        <f t="shared" si="2"/>
        <v>3.9372272007660137E-4</v>
      </c>
      <c r="C53" s="73">
        <f t="shared" si="1"/>
        <v>9.7011338508766931E-4</v>
      </c>
    </row>
    <row r="54" spans="1:3">
      <c r="A54">
        <v>38</v>
      </c>
      <c r="B54" s="73">
        <f t="shared" si="2"/>
        <v>6.2166745275253122E-4</v>
      </c>
      <c r="C54" s="73">
        <f t="shared" si="1"/>
        <v>1.5917808378402005E-3</v>
      </c>
    </row>
    <row r="55" spans="1:3">
      <c r="A55">
        <v>39</v>
      </c>
      <c r="B55" s="73">
        <f t="shared" si="2"/>
        <v>9.5641146577312016E-4</v>
      </c>
      <c r="C55" s="73">
        <f t="shared" si="1"/>
        <v>2.5481923036133206E-3</v>
      </c>
    </row>
    <row r="56" spans="1:3">
      <c r="A56">
        <v>40</v>
      </c>
      <c r="B56" s="73">
        <f t="shared" si="2"/>
        <v>1.4346171986596859E-3</v>
      </c>
      <c r="C56" s="73">
        <f t="shared" si="1"/>
        <v>3.9828095022730065E-3</v>
      </c>
    </row>
    <row r="57" spans="1:3">
      <c r="A57">
        <v>41</v>
      </c>
      <c r="B57" s="73">
        <f t="shared" si="2"/>
        <v>2.0994398029166124E-3</v>
      </c>
      <c r="C57" s="73">
        <f t="shared" si="1"/>
        <v>6.0822493051896189E-3</v>
      </c>
    </row>
    <row r="58" spans="1:3">
      <c r="A58">
        <v>42</v>
      </c>
      <c r="B58" s="73">
        <f t="shared" si="2"/>
        <v>2.9991997184523004E-3</v>
      </c>
      <c r="C58" s="73">
        <f t="shared" si="1"/>
        <v>9.0814490236419201E-3</v>
      </c>
    </row>
    <row r="59" spans="1:3">
      <c r="A59">
        <v>43</v>
      </c>
      <c r="B59" s="73">
        <f t="shared" si="2"/>
        <v>4.1849298397008804E-3</v>
      </c>
      <c r="C59" s="73">
        <f t="shared" si="1"/>
        <v>1.3266378863342801E-2</v>
      </c>
    </row>
    <row r="60" spans="1:3">
      <c r="A60">
        <v>44</v>
      </c>
      <c r="B60" s="73">
        <f t="shared" si="2"/>
        <v>5.7067225086830211E-3</v>
      </c>
      <c r="C60" s="73">
        <f t="shared" si="1"/>
        <v>1.8973101372025823E-2</v>
      </c>
    </row>
    <row r="61" spans="1:3">
      <c r="A61">
        <v>45</v>
      </c>
      <c r="B61" s="73">
        <f t="shared" si="2"/>
        <v>7.6089633449106953E-3</v>
      </c>
      <c r="C61" s="73">
        <f t="shared" si="1"/>
        <v>2.658206471693652E-2</v>
      </c>
    </row>
    <row r="62" spans="1:3">
      <c r="A62">
        <v>46</v>
      </c>
      <c r="B62" s="73">
        <f t="shared" si="2"/>
        <v>9.924734797709606E-3</v>
      </c>
      <c r="C62" s="73">
        <f t="shared" si="1"/>
        <v>3.6506799514646124E-2</v>
      </c>
    </row>
    <row r="63" spans="1:3">
      <c r="A63">
        <v>47</v>
      </c>
      <c r="B63" s="73">
        <f t="shared" si="2"/>
        <v>1.2669874209842056E-2</v>
      </c>
      <c r="C63" s="73">
        <f t="shared" si="1"/>
        <v>4.9176673724488182E-2</v>
      </c>
    </row>
    <row r="64" spans="1:3">
      <c r="A64">
        <v>48</v>
      </c>
      <c r="B64" s="73">
        <f t="shared" si="2"/>
        <v>1.5837342762302566E-2</v>
      </c>
      <c r="C64" s="73">
        <f t="shared" si="1"/>
        <v>6.5014016486790754E-2</v>
      </c>
    </row>
    <row r="65" spans="1:3">
      <c r="A65">
        <v>49</v>
      </c>
      <c r="B65" s="73">
        <f t="shared" si="2"/>
        <v>1.9392664606901127E-2</v>
      </c>
      <c r="C65" s="73">
        <f t="shared" si="1"/>
        <v>8.4406681093691885E-2</v>
      </c>
    </row>
    <row r="66" spans="1:3">
      <c r="A66">
        <v>50</v>
      </c>
      <c r="B66" s="73">
        <f t="shared" si="2"/>
        <v>2.3271197528281277E-2</v>
      </c>
      <c r="C66" s="73">
        <f t="shared" si="1"/>
        <v>0.10767787862197316</v>
      </c>
    </row>
    <row r="67" spans="1:3">
      <c r="A67">
        <v>51</v>
      </c>
      <c r="B67" s="73">
        <f t="shared" si="2"/>
        <v>2.7377879445036855E-2</v>
      </c>
      <c r="C67" s="73">
        <f t="shared" si="1"/>
        <v>0.13505575806701001</v>
      </c>
    </row>
    <row r="68" spans="1:3">
      <c r="A68">
        <v>52</v>
      </c>
      <c r="B68" s="73">
        <f t="shared" si="2"/>
        <v>3.1589860898119444E-2</v>
      </c>
      <c r="C68" s="73">
        <f t="shared" si="1"/>
        <v>0.16664561896512944</v>
      </c>
    </row>
    <row r="69" spans="1:3">
      <c r="A69">
        <v>53</v>
      </c>
      <c r="B69" s="73">
        <f t="shared" si="2"/>
        <v>3.5762106677116358E-2</v>
      </c>
      <c r="C69" s="73">
        <f t="shared" si="1"/>
        <v>0.20240772564224579</v>
      </c>
    </row>
    <row r="70" spans="1:3">
      <c r="A70">
        <v>54</v>
      </c>
      <c r="B70" s="73">
        <f t="shared" si="2"/>
        <v>3.9735674085684798E-2</v>
      </c>
      <c r="C70" s="73">
        <f t="shared" si="1"/>
        <v>0.24214339972793059</v>
      </c>
    </row>
    <row r="71" spans="1:3">
      <c r="A71">
        <v>55</v>
      </c>
      <c r="B71" s="73">
        <f t="shared" si="2"/>
        <v>4.3348008093474374E-2</v>
      </c>
      <c r="C71" s="73">
        <f t="shared" si="1"/>
        <v>0.28549140782140497</v>
      </c>
    </row>
    <row r="72" spans="1:3">
      <c r="A72">
        <v>56</v>
      </c>
      <c r="B72" s="73">
        <f t="shared" si="2"/>
        <v>4.6444294385865385E-2</v>
      </c>
      <c r="C72" s="73">
        <f t="shared" si="1"/>
        <v>0.33193570220727037</v>
      </c>
    </row>
    <row r="73" spans="1:3">
      <c r="A73">
        <v>57</v>
      </c>
      <c r="B73" s="73">
        <f t="shared" si="2"/>
        <v>4.8888730932489861E-2</v>
      </c>
      <c r="C73" s="73">
        <f t="shared" si="1"/>
        <v>0.38082443313976022</v>
      </c>
    </row>
    <row r="74" spans="1:3">
      <c r="A74">
        <v>58</v>
      </c>
      <c r="B74" s="73">
        <f t="shared" si="2"/>
        <v>5.0574549240506743E-2</v>
      </c>
      <c r="C74" s="73">
        <f t="shared" si="1"/>
        <v>0.43139898238026697</v>
      </c>
    </row>
    <row r="75" spans="1:3">
      <c r="A75">
        <v>59</v>
      </c>
      <c r="B75" s="73">
        <f t="shared" si="2"/>
        <v>5.1431744990345848E-2</v>
      </c>
      <c r="C75" s="73">
        <f t="shared" si="1"/>
        <v>0.48283072737061283</v>
      </c>
    </row>
    <row r="76" spans="1:3">
      <c r="A76">
        <v>60</v>
      </c>
      <c r="B76" s="73">
        <f t="shared" si="2"/>
        <v>5.1431744990345862E-2</v>
      </c>
      <c r="C76" s="73">
        <f t="shared" si="1"/>
        <v>0.5342624723609587</v>
      </c>
    </row>
    <row r="77" spans="1:3">
      <c r="A77">
        <v>61</v>
      </c>
      <c r="B77" s="73">
        <f t="shared" si="2"/>
        <v>5.0588601629848386E-2</v>
      </c>
      <c r="C77" s="73">
        <f t="shared" si="1"/>
        <v>0.58485107399080705</v>
      </c>
    </row>
    <row r="78" spans="1:3">
      <c r="A78">
        <v>62</v>
      </c>
      <c r="B78" s="73">
        <f t="shared" si="2"/>
        <v>4.8956711254691976E-2</v>
      </c>
      <c r="C78" s="73">
        <f t="shared" si="1"/>
        <v>0.63380778524549908</v>
      </c>
    </row>
    <row r="79" spans="1:3">
      <c r="A79">
        <v>63</v>
      </c>
      <c r="B79" s="73">
        <f t="shared" si="2"/>
        <v>4.6625439290182834E-2</v>
      </c>
      <c r="C79" s="73">
        <f t="shared" si="1"/>
        <v>0.68043322453568189</v>
      </c>
    </row>
    <row r="80" spans="1:3">
      <c r="A80">
        <v>64</v>
      </c>
      <c r="B80" s="73">
        <f t="shared" ref="B80:B111" si="3">_xlfn.POISSON.DIST($C$6+A80,$C$7,FALSE)</f>
        <v>4.3711349334546436E-2</v>
      </c>
      <c r="C80" s="73">
        <f t="shared" ref="C80:C116" si="4">C79+B80</f>
        <v>0.72414457387022835</v>
      </c>
    </row>
    <row r="81" spans="1:3">
      <c r="A81">
        <v>65</v>
      </c>
      <c r="B81" s="73">
        <f t="shared" si="3"/>
        <v>4.0348937847273621E-2</v>
      </c>
      <c r="C81" s="73">
        <f t="shared" si="4"/>
        <v>0.76449351171750202</v>
      </c>
    </row>
    <row r="82" spans="1:3">
      <c r="A82">
        <v>66</v>
      </c>
      <c r="B82" s="73">
        <f t="shared" si="3"/>
        <v>3.6680852588430575E-2</v>
      </c>
      <c r="C82" s="73">
        <f t="shared" si="4"/>
        <v>0.80117436430593258</v>
      </c>
    </row>
    <row r="83" spans="1:3">
      <c r="A83">
        <v>67</v>
      </c>
      <c r="B83" s="73">
        <f t="shared" si="3"/>
        <v>3.2848524706057224E-2</v>
      </c>
      <c r="C83" s="73">
        <f t="shared" si="4"/>
        <v>0.83402288901198984</v>
      </c>
    </row>
    <row r="84" spans="1:3">
      <c r="A84">
        <v>68</v>
      </c>
      <c r="B84" s="73">
        <f t="shared" si="3"/>
        <v>2.8983992387697527E-2</v>
      </c>
      <c r="C84" s="73">
        <f t="shared" si="4"/>
        <v>0.8630068813996874</v>
      </c>
    </row>
    <row r="85" spans="1:3">
      <c r="A85">
        <v>69</v>
      </c>
      <c r="B85" s="73">
        <f t="shared" si="3"/>
        <v>2.5203471641476152E-2</v>
      </c>
      <c r="C85" s="73">
        <f t="shared" si="4"/>
        <v>0.88821035304116358</v>
      </c>
    </row>
    <row r="86" spans="1:3">
      <c r="A86">
        <v>70</v>
      </c>
      <c r="B86" s="73">
        <f t="shared" si="3"/>
        <v>2.1602975692693836E-2</v>
      </c>
      <c r="C86" s="73">
        <f t="shared" si="4"/>
        <v>0.90981332873385745</v>
      </c>
    </row>
    <row r="87" spans="1:3">
      <c r="A87">
        <v>71</v>
      </c>
      <c r="B87" s="73">
        <f t="shared" si="3"/>
        <v>1.8256035796642658E-2</v>
      </c>
      <c r="C87" s="73">
        <f t="shared" si="4"/>
        <v>0.92806936453050015</v>
      </c>
    </row>
    <row r="88" spans="1:3">
      <c r="A88">
        <v>72</v>
      </c>
      <c r="B88" s="73">
        <f t="shared" si="3"/>
        <v>1.5213363163868902E-2</v>
      </c>
      <c r="C88" s="73">
        <f t="shared" si="4"/>
        <v>0.94328272769436905</v>
      </c>
    </row>
    <row r="89" spans="1:3">
      <c r="A89">
        <v>73</v>
      </c>
      <c r="B89" s="73">
        <f t="shared" si="3"/>
        <v>1.2504134107289504E-2</v>
      </c>
      <c r="C89" s="73">
        <f t="shared" si="4"/>
        <v>0.9557868618016585</v>
      </c>
    </row>
    <row r="90" spans="1:3">
      <c r="A90">
        <v>74</v>
      </c>
      <c r="B90" s="73">
        <f t="shared" si="3"/>
        <v>1.0138487114018515E-2</v>
      </c>
      <c r="C90" s="73">
        <f t="shared" si="4"/>
        <v>0.96592534891567705</v>
      </c>
    </row>
    <row r="91" spans="1:3">
      <c r="A91">
        <v>75</v>
      </c>
      <c r="B91" s="73">
        <f t="shared" si="3"/>
        <v>8.110789691214813E-3</v>
      </c>
      <c r="C91" s="73">
        <f t="shared" si="4"/>
        <v>0.97403613860689187</v>
      </c>
    </row>
    <row r="92" spans="1:3">
      <c r="A92">
        <v>76</v>
      </c>
      <c r="B92" s="73">
        <f t="shared" si="3"/>
        <v>6.403255019380107E-3</v>
      </c>
      <c r="C92" s="73">
        <f t="shared" si="4"/>
        <v>0.98043939362627197</v>
      </c>
    </row>
    <row r="93" spans="1:3">
      <c r="A93">
        <v>77</v>
      </c>
      <c r="B93" s="73">
        <f t="shared" si="3"/>
        <v>4.9895493657507433E-3</v>
      </c>
      <c r="C93" s="73">
        <f t="shared" si="4"/>
        <v>0.98542894299202266</v>
      </c>
    </row>
    <row r="94" spans="1:3">
      <c r="A94">
        <v>78</v>
      </c>
      <c r="B94" s="73">
        <f t="shared" si="3"/>
        <v>3.8381148967313295E-3</v>
      </c>
      <c r="C94" s="73">
        <f t="shared" si="4"/>
        <v>0.98926705788875402</v>
      </c>
    </row>
    <row r="95" spans="1:3">
      <c r="A95">
        <v>79</v>
      </c>
      <c r="B95" s="73">
        <f t="shared" si="3"/>
        <v>2.9150239722010203E-3</v>
      </c>
      <c r="C95" s="73">
        <f t="shared" si="4"/>
        <v>0.99218208186095502</v>
      </c>
    </row>
    <row r="96" spans="1:3">
      <c r="A96">
        <v>80</v>
      </c>
      <c r="B96" s="73">
        <f t="shared" si="3"/>
        <v>2.1862679791507631E-3</v>
      </c>
      <c r="C96" s="73">
        <f t="shared" si="4"/>
        <v>0.9943683498401058</v>
      </c>
    </row>
    <row r="97" spans="1:3">
      <c r="A97">
        <v>81</v>
      </c>
      <c r="B97" s="73">
        <f t="shared" si="3"/>
        <v>1.6194577623338978E-3</v>
      </c>
      <c r="C97" s="73">
        <f t="shared" si="4"/>
        <v>0.99598780760243966</v>
      </c>
    </row>
    <row r="98" spans="1:3">
      <c r="A98">
        <v>82</v>
      </c>
      <c r="B98" s="73">
        <f t="shared" si="3"/>
        <v>1.1849690943906577E-3</v>
      </c>
      <c r="C98" s="73">
        <f t="shared" si="4"/>
        <v>0.99717277669683035</v>
      </c>
    </row>
    <row r="99" spans="1:3">
      <c r="A99">
        <v>83</v>
      </c>
      <c r="B99" s="73">
        <f t="shared" si="3"/>
        <v>8.5660416461975236E-4</v>
      </c>
      <c r="C99" s="73">
        <f t="shared" si="4"/>
        <v>0.9980293808614501</v>
      </c>
    </row>
    <row r="100" spans="1:3">
      <c r="A100">
        <v>84</v>
      </c>
      <c r="B100" s="73">
        <f t="shared" si="3"/>
        <v>6.1186011758553808E-4</v>
      </c>
      <c r="C100" s="73">
        <f t="shared" si="4"/>
        <v>0.99864124097903562</v>
      </c>
    </row>
    <row r="101" spans="1:3">
      <c r="A101">
        <v>85</v>
      </c>
      <c r="B101" s="73">
        <f t="shared" si="3"/>
        <v>4.3190125947214364E-4</v>
      </c>
      <c r="C101" s="73">
        <f t="shared" si="4"/>
        <v>0.99907314223850774</v>
      </c>
    </row>
    <row r="102" spans="1:3">
      <c r="A102">
        <v>86</v>
      </c>
      <c r="B102" s="73">
        <f t="shared" si="3"/>
        <v>3.0132646009684488E-4</v>
      </c>
      <c r="C102" s="73">
        <f t="shared" si="4"/>
        <v>0.99937446869860458</v>
      </c>
    </row>
    <row r="103" spans="1:3">
      <c r="A103">
        <v>87</v>
      </c>
      <c r="B103" s="73">
        <f t="shared" si="3"/>
        <v>2.0781135179092752E-4</v>
      </c>
      <c r="C103" s="73">
        <f t="shared" si="4"/>
        <v>0.99958228005039551</v>
      </c>
    </row>
    <row r="104" spans="1:3">
      <c r="A104">
        <v>88</v>
      </c>
      <c r="B104" s="73">
        <f t="shared" si="3"/>
        <v>1.4168955803926846E-4</v>
      </c>
      <c r="C104" s="73">
        <f t="shared" si="4"/>
        <v>0.99972396960843479</v>
      </c>
    </row>
    <row r="105" spans="1:3">
      <c r="A105">
        <v>89</v>
      </c>
      <c r="B105" s="73">
        <f t="shared" si="3"/>
        <v>9.5521050363551717E-5</v>
      </c>
      <c r="C105" s="73">
        <f t="shared" si="4"/>
        <v>0.99981949065879838</v>
      </c>
    </row>
    <row r="106" spans="1:3">
      <c r="A106">
        <v>90</v>
      </c>
      <c r="B106" s="73">
        <f t="shared" si="3"/>
        <v>6.3680700242368078E-5</v>
      </c>
      <c r="C106" s="73">
        <f t="shared" si="4"/>
        <v>0.9998831713590407</v>
      </c>
    </row>
    <row r="107" spans="1:3">
      <c r="A107">
        <v>91</v>
      </c>
      <c r="B107" s="73">
        <f t="shared" si="3"/>
        <v>4.1987274885077858E-5</v>
      </c>
      <c r="C107" s="73">
        <f t="shared" si="4"/>
        <v>0.99992515863392573</v>
      </c>
    </row>
    <row r="108" spans="1:3">
      <c r="A108">
        <v>92</v>
      </c>
      <c r="B108" s="73">
        <f t="shared" si="3"/>
        <v>2.7383005359833276E-5</v>
      </c>
      <c r="C108" s="73">
        <f t="shared" si="4"/>
        <v>0.9999525416392856</v>
      </c>
    </row>
    <row r="109" spans="1:3">
      <c r="A109">
        <v>93</v>
      </c>
      <c r="B109" s="73">
        <f t="shared" si="3"/>
        <v>1.7666455070860094E-5</v>
      </c>
      <c r="C109" s="73">
        <f t="shared" si="4"/>
        <v>0.99997020809435644</v>
      </c>
    </row>
    <row r="110" spans="1:3">
      <c r="A110">
        <v>94</v>
      </c>
      <c r="B110" s="73">
        <f t="shared" si="3"/>
        <v>1.1276460683527758E-5</v>
      </c>
      <c r="C110" s="73">
        <f t="shared" si="4"/>
        <v>0.99998148455503999</v>
      </c>
    </row>
    <row r="111" spans="1:3">
      <c r="A111">
        <v>95</v>
      </c>
      <c r="B111" s="73">
        <f t="shared" si="3"/>
        <v>7.1219751685438776E-6</v>
      </c>
      <c r="C111" s="73">
        <f t="shared" si="4"/>
        <v>0.99998860653020849</v>
      </c>
    </row>
    <row r="112" spans="1:3">
      <c r="A112">
        <v>96</v>
      </c>
      <c r="B112" s="73">
        <f t="shared" ref="B112:B116" si="5">_xlfn.POISSON.DIST($C$6+A112,$C$7,FALSE)</f>
        <v>4.4512344803398851E-6</v>
      </c>
      <c r="C112" s="73">
        <f t="shared" si="4"/>
        <v>0.99999305776468883</v>
      </c>
    </row>
    <row r="113" spans="1:3">
      <c r="A113">
        <v>97</v>
      </c>
      <c r="B113" s="73">
        <f t="shared" si="5"/>
        <v>2.7533409156741534E-6</v>
      </c>
      <c r="C113" s="73">
        <f t="shared" si="4"/>
        <v>0.99999581110560454</v>
      </c>
    </row>
    <row r="114" spans="1:3">
      <c r="A114">
        <v>98</v>
      </c>
      <c r="B114" s="73">
        <f t="shared" si="5"/>
        <v>1.6857189279637756E-6</v>
      </c>
      <c r="C114" s="73">
        <f t="shared" si="4"/>
        <v>0.99999749682453254</v>
      </c>
    </row>
    <row r="115" spans="1:3">
      <c r="A115">
        <v>99</v>
      </c>
      <c r="B115" s="73">
        <f t="shared" si="5"/>
        <v>1.0216478351295726E-6</v>
      </c>
      <c r="C115" s="73">
        <f t="shared" si="4"/>
        <v>0.99999851847236765</v>
      </c>
    </row>
    <row r="116" spans="1:3">
      <c r="A116">
        <v>100</v>
      </c>
      <c r="B116" s="73">
        <f t="shared" si="5"/>
        <v>6.1298870107773643E-7</v>
      </c>
      <c r="C116" s="73">
        <f t="shared" si="4"/>
        <v>0.99999913146106878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7803-7FD3-4773-BEB1-B74A95DF10E5}">
  <sheetPr codeName="Sheet9"/>
  <dimension ref="A1:E117"/>
  <sheetViews>
    <sheetView workbookViewId="0">
      <selection activeCell="B1" sqref="B1"/>
    </sheetView>
  </sheetViews>
  <sheetFormatPr defaultRowHeight="18.75"/>
  <cols>
    <col min="1" max="1" width="11" bestFit="1" customWidth="1"/>
    <col min="2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62</v>
      </c>
      <c r="C2" s="74" t="s">
        <v>78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72</v>
      </c>
      <c r="C6" s="79">
        <v>0</v>
      </c>
      <c r="D6" t="s">
        <v>76</v>
      </c>
      <c r="E6" s="76" t="s">
        <v>75</v>
      </c>
    </row>
    <row r="7" spans="1:5" ht="19.5" thickBot="1">
      <c r="B7" t="s">
        <v>73</v>
      </c>
      <c r="C7" s="81">
        <v>0.1</v>
      </c>
      <c r="D7" t="s">
        <v>57</v>
      </c>
      <c r="E7" s="77" t="s">
        <v>77</v>
      </c>
    </row>
    <row r="8" spans="1:5">
      <c r="E8" s="78" t="s">
        <v>80</v>
      </c>
    </row>
    <row r="9" spans="1:5">
      <c r="E9" s="75"/>
    </row>
    <row r="10" spans="1:5" ht="19.5" thickBot="1">
      <c r="E10" s="75"/>
    </row>
    <row r="11" spans="1:5">
      <c r="B11" s="82" t="s">
        <v>65</v>
      </c>
      <c r="C11" s="83">
        <f>1/C7</f>
        <v>10</v>
      </c>
      <c r="D11" t="s">
        <v>89</v>
      </c>
      <c r="E11" s="75"/>
    </row>
    <row r="12" spans="1:5" ht="19.5" thickBot="1">
      <c r="B12" s="84" t="s">
        <v>69</v>
      </c>
      <c r="C12" s="85">
        <f>(1-C7)/C7^2</f>
        <v>89.999999999999986</v>
      </c>
      <c r="D12" t="s">
        <v>90</v>
      </c>
    </row>
    <row r="13" spans="1:5">
      <c r="B13" s="67"/>
      <c r="C13" s="67"/>
    </row>
    <row r="14" spans="1:5">
      <c r="A14" t="s">
        <v>74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 cm="1">
        <f t="array" ref="B16">statistics.GEOM($C$7, $C$6+A16)</f>
        <v>0</v>
      </c>
      <c r="C16" s="73">
        <f>C15+B16</f>
        <v>0</v>
      </c>
    </row>
    <row r="17" spans="1:3">
      <c r="A17">
        <v>1</v>
      </c>
      <c r="B17" s="73" cm="1">
        <f t="array" ref="B17">statistics.GEOM($C$7, $C$6+A17)</f>
        <v>0.10000000149011612</v>
      </c>
      <c r="C17" s="73">
        <f t="shared" ref="C17:C79" si="0">C16+B17</f>
        <v>0.10000000149011612</v>
      </c>
    </row>
    <row r="18" spans="1:3">
      <c r="A18">
        <v>2</v>
      </c>
      <c r="B18" s="73" cm="1">
        <f t="array" ref="B18">statistics.GEOM($C$7, $C$6+A18)</f>
        <v>9.0000003576278687E-2</v>
      </c>
      <c r="C18" s="73">
        <f t="shared" si="0"/>
        <v>0.19000000506639481</v>
      </c>
    </row>
    <row r="19" spans="1:3">
      <c r="A19">
        <v>3</v>
      </c>
      <c r="B19" s="73" cm="1">
        <f t="array" ref="B19">statistics.GEOM($C$7, $C$6+A19)</f>
        <v>8.1000000238418579E-2</v>
      </c>
      <c r="C19" s="73">
        <f t="shared" si="0"/>
        <v>0.27100000530481339</v>
      </c>
    </row>
    <row r="20" spans="1:3">
      <c r="A20">
        <v>4</v>
      </c>
      <c r="B20" s="73" cm="1">
        <f t="array" ref="B20">statistics.GEOM($C$7, $C$6+A20)</f>
        <v>7.2899997234344482E-2</v>
      </c>
      <c r="C20" s="73">
        <f t="shared" si="0"/>
        <v>0.34390000253915787</v>
      </c>
    </row>
    <row r="21" spans="1:3">
      <c r="A21">
        <v>5</v>
      </c>
      <c r="B21" s="73" cm="1">
        <f t="array" ref="B21">statistics.GEOM($C$7, $C$6+A21)</f>
        <v>6.5609999001026154E-2</v>
      </c>
      <c r="C21" s="73">
        <f t="shared" si="0"/>
        <v>0.40951000154018402</v>
      </c>
    </row>
    <row r="22" spans="1:3">
      <c r="A22">
        <v>6</v>
      </c>
      <c r="B22" s="73" cm="1">
        <f t="array" ref="B22">statistics.GEOM($C$7, $C$6+A22)</f>
        <v>5.9048999100923538E-2</v>
      </c>
      <c r="C22" s="73">
        <f t="shared" si="0"/>
        <v>0.46855900064110756</v>
      </c>
    </row>
    <row r="23" spans="1:3">
      <c r="A23">
        <v>7</v>
      </c>
      <c r="B23" s="73" cm="1">
        <f t="array" ref="B23">statistics.GEOM($C$7, $C$6+A23)</f>
        <v>5.3144101053476334E-2</v>
      </c>
      <c r="C23" s="73">
        <f t="shared" si="0"/>
        <v>0.52170310169458389</v>
      </c>
    </row>
    <row r="24" spans="1:3">
      <c r="A24">
        <v>8</v>
      </c>
      <c r="B24" s="73" cm="1">
        <f t="array" ref="B24">statistics.GEOM($C$7, $C$6+A24)</f>
        <v>4.782969132065773E-2</v>
      </c>
      <c r="C24" s="73">
        <f t="shared" si="0"/>
        <v>0.56953279301524162</v>
      </c>
    </row>
    <row r="25" spans="1:3">
      <c r="A25">
        <v>9</v>
      </c>
      <c r="B25" s="73" cm="1">
        <f t="array" ref="B25">statistics.GEOM($C$7, $C$6+A25)</f>
        <v>4.3046720325946808E-2</v>
      </c>
      <c r="C25" s="73">
        <f t="shared" si="0"/>
        <v>0.61257951334118843</v>
      </c>
    </row>
    <row r="26" spans="1:3">
      <c r="A26">
        <v>10</v>
      </c>
      <c r="B26" s="73" cm="1">
        <f t="array" ref="B26">statistics.GEOM($C$7, $C$6+A26)</f>
        <v>3.8742050528526306E-2</v>
      </c>
      <c r="C26" s="73">
        <f t="shared" si="0"/>
        <v>0.65132156386971474</v>
      </c>
    </row>
    <row r="27" spans="1:3">
      <c r="A27">
        <v>11</v>
      </c>
      <c r="B27" s="73" cm="1">
        <f t="array" ref="B27">statistics.GEOM($C$7, $C$6+A27)</f>
        <v>3.4867845475673676E-2</v>
      </c>
      <c r="C27" s="73">
        <f t="shared" si="0"/>
        <v>0.68618940934538841</v>
      </c>
    </row>
    <row r="28" spans="1:3">
      <c r="A28">
        <v>12</v>
      </c>
      <c r="B28" s="73" cm="1">
        <f t="array" ref="B28">statistics.GEOM($C$7, $C$6+A28)</f>
        <v>3.1381059437990189E-2</v>
      </c>
      <c r="C28" s="73">
        <f t="shared" si="0"/>
        <v>0.7175704687833786</v>
      </c>
    </row>
    <row r="29" spans="1:3">
      <c r="A29">
        <v>13</v>
      </c>
      <c r="B29" s="73" cm="1">
        <f t="array" ref="B29">statistics.GEOM($C$7, $C$6+A29)</f>
        <v>2.824295312166214E-2</v>
      </c>
      <c r="C29" s="73">
        <f t="shared" si="0"/>
        <v>0.74581342190504074</v>
      </c>
    </row>
    <row r="30" spans="1:3">
      <c r="A30">
        <v>14</v>
      </c>
      <c r="B30" s="73" cm="1">
        <f t="array" ref="B30">statistics.GEOM($C$7, $C$6+A30)</f>
        <v>2.5418657809495926E-2</v>
      </c>
      <c r="C30" s="73">
        <f t="shared" si="0"/>
        <v>0.77123207971453667</v>
      </c>
    </row>
    <row r="31" spans="1:3">
      <c r="A31">
        <v>15</v>
      </c>
      <c r="B31" s="73" cm="1">
        <f t="array" ref="B31">statistics.GEOM($C$7, $C$6+A31)</f>
        <v>2.2876791656017303E-2</v>
      </c>
      <c r="C31" s="73">
        <f t="shared" si="0"/>
        <v>0.79410887137055397</v>
      </c>
    </row>
    <row r="32" spans="1:3">
      <c r="A32">
        <v>16</v>
      </c>
      <c r="B32" s="73" cm="1">
        <f t="array" ref="B32">statistics.GEOM($C$7, $C$6+A32)</f>
        <v>2.0589113235473633E-2</v>
      </c>
      <c r="C32" s="73">
        <f t="shared" si="0"/>
        <v>0.8146979846060276</v>
      </c>
    </row>
    <row r="33" spans="1:3">
      <c r="A33">
        <v>17</v>
      </c>
      <c r="B33" s="73" cm="1">
        <f t="array" ref="B33">statistics.GEOM($C$7, $C$6+A33)</f>
        <v>1.853020116686821E-2</v>
      </c>
      <c r="C33" s="73">
        <f t="shared" si="0"/>
        <v>0.83322818577289581</v>
      </c>
    </row>
    <row r="34" spans="1:3">
      <c r="A34">
        <v>18</v>
      </c>
      <c r="B34" s="73" cm="1">
        <f t="array" ref="B34">statistics.GEOM($C$7, $C$6+A34)</f>
        <v>1.6677182167768478E-2</v>
      </c>
      <c r="C34" s="73">
        <f t="shared" si="0"/>
        <v>0.84990536794066429</v>
      </c>
    </row>
    <row r="35" spans="1:3">
      <c r="A35">
        <v>19</v>
      </c>
      <c r="B35" s="73" cm="1">
        <f t="array" ref="B35">statistics.GEOM($C$7, $C$6+A35)</f>
        <v>1.5009463764727116E-2</v>
      </c>
      <c r="C35" s="73">
        <f t="shared" si="0"/>
        <v>0.86491483170539141</v>
      </c>
    </row>
    <row r="36" spans="1:3">
      <c r="A36">
        <v>20</v>
      </c>
      <c r="B36" s="73" cm="1">
        <f t="array" ref="B36">statistics.GEOM($C$7, $C$6+A36)</f>
        <v>1.3508517295122147E-2</v>
      </c>
      <c r="C36" s="73">
        <f t="shared" si="0"/>
        <v>0.87842334900051355</v>
      </c>
    </row>
    <row r="37" spans="1:3">
      <c r="A37">
        <v>21</v>
      </c>
      <c r="B37" s="73" cm="1">
        <f t="array" ref="B37">statistics.GEOM($C$7, $C$6+A37)</f>
        <v>1.2157665565609932E-2</v>
      </c>
      <c r="C37" s="73">
        <f t="shared" si="0"/>
        <v>0.89058101456612349</v>
      </c>
    </row>
    <row r="38" spans="1:3">
      <c r="A38">
        <v>22</v>
      </c>
      <c r="B38" s="73" cm="1">
        <f t="array" ref="B38">statistics.GEOM($C$7, $C$6+A38)</f>
        <v>1.0941898450255394E-2</v>
      </c>
      <c r="C38" s="73">
        <f t="shared" si="0"/>
        <v>0.90152291301637888</v>
      </c>
    </row>
    <row r="39" spans="1:3">
      <c r="A39">
        <v>23</v>
      </c>
      <c r="B39" s="73" cm="1">
        <f t="array" ref="B39">statistics.GEOM($C$7, $C$6+A39)</f>
        <v>9.8477089777588844E-3</v>
      </c>
      <c r="C39" s="73">
        <f t="shared" si="0"/>
        <v>0.91137062199413776</v>
      </c>
    </row>
    <row r="40" spans="1:3">
      <c r="A40">
        <v>24</v>
      </c>
      <c r="B40" s="73" cm="1">
        <f t="array" ref="B40">statistics.GEOM($C$7, $C$6+A40)</f>
        <v>8.8629378005862236E-3</v>
      </c>
      <c r="C40" s="73">
        <f t="shared" si="0"/>
        <v>0.92023355979472399</v>
      </c>
    </row>
    <row r="41" spans="1:3">
      <c r="A41">
        <v>25</v>
      </c>
      <c r="B41" s="73" cm="1">
        <f t="array" ref="B41">statistics.GEOM($C$7, $C$6+A41)</f>
        <v>7.9766437411308289E-3</v>
      </c>
      <c r="C41" s="73">
        <f t="shared" si="0"/>
        <v>0.92821020353585482</v>
      </c>
    </row>
    <row r="42" spans="1:3">
      <c r="A42">
        <v>26</v>
      </c>
      <c r="B42" s="73" cm="1">
        <f t="array" ref="B42">statistics.GEOM($C$7, $C$6+A42)</f>
        <v>7.1789794601500034E-3</v>
      </c>
      <c r="C42" s="73">
        <f t="shared" si="0"/>
        <v>0.93538918299600482</v>
      </c>
    </row>
    <row r="43" spans="1:3">
      <c r="A43">
        <v>27</v>
      </c>
      <c r="B43" s="73" cm="1">
        <f t="array" ref="B43">statistics.GEOM($C$7, $C$6+A43)</f>
        <v>6.4610815607011318E-3</v>
      </c>
      <c r="C43" s="73">
        <f t="shared" si="0"/>
        <v>0.94185026455670595</v>
      </c>
    </row>
    <row r="44" spans="1:3">
      <c r="A44">
        <v>28</v>
      </c>
      <c r="B44" s="73" cm="1">
        <f t="array" ref="B44">statistics.GEOM($C$7, $C$6+A44)</f>
        <v>5.8149737305939198E-3</v>
      </c>
      <c r="C44" s="73">
        <f t="shared" si="0"/>
        <v>0.94766523828729987</v>
      </c>
    </row>
    <row r="45" spans="1:3">
      <c r="A45">
        <v>29</v>
      </c>
      <c r="B45" s="73" cm="1">
        <f t="array" ref="B45">statistics.GEOM($C$7, $C$6+A45)</f>
        <v>5.2334759384393692E-3</v>
      </c>
      <c r="C45" s="73">
        <f t="shared" si="0"/>
        <v>0.95289871422573924</v>
      </c>
    </row>
    <row r="46" spans="1:3">
      <c r="A46">
        <v>30</v>
      </c>
      <c r="B46" s="73" cm="1">
        <f t="array" ref="B46">statistics.GEOM($C$7, $C$6+A46)</f>
        <v>4.7101285308599472E-3</v>
      </c>
      <c r="C46" s="73">
        <f t="shared" si="0"/>
        <v>0.95760884275659919</v>
      </c>
    </row>
    <row r="47" spans="1:3">
      <c r="A47">
        <v>31</v>
      </c>
      <c r="B47" s="73" cm="1">
        <f t="array" ref="B47">statistics.GEOM($C$7, $C$6+A47)</f>
        <v>4.2391158640384674E-3</v>
      </c>
      <c r="C47" s="73">
        <f t="shared" si="0"/>
        <v>0.96184795862063766</v>
      </c>
    </row>
    <row r="48" spans="1:3">
      <c r="A48">
        <v>32</v>
      </c>
      <c r="B48" s="73" cm="1">
        <f t="array" ref="B48">statistics.GEOM($C$7, $C$6+A48)</f>
        <v>3.8152041379362345E-3</v>
      </c>
      <c r="C48" s="73">
        <f t="shared" si="0"/>
        <v>0.96566316275857389</v>
      </c>
    </row>
    <row r="49" spans="1:3">
      <c r="A49">
        <v>33</v>
      </c>
      <c r="B49" s="73" cm="1">
        <f t="array" ref="B49">statistics.GEOM($C$7, $C$6+A49)</f>
        <v>3.4336836542934179E-3</v>
      </c>
      <c r="C49" s="73">
        <f t="shared" si="0"/>
        <v>0.96909684641286731</v>
      </c>
    </row>
    <row r="50" spans="1:3">
      <c r="A50">
        <v>34</v>
      </c>
      <c r="B50" s="73" cm="1">
        <f t="array" ref="B50">statistics.GEOM($C$7, $C$6+A50)</f>
        <v>3.0903152655810118E-3</v>
      </c>
      <c r="C50" s="73">
        <f t="shared" si="0"/>
        <v>0.97218716167844832</v>
      </c>
    </row>
    <row r="51" spans="1:3">
      <c r="A51">
        <v>35</v>
      </c>
      <c r="B51" s="73" cm="1">
        <f t="array" ref="B51">statistics.GEOM($C$7, $C$6+A51)</f>
        <v>2.7812838088721037E-3</v>
      </c>
      <c r="C51" s="73">
        <f t="shared" si="0"/>
        <v>0.97496844548732042</v>
      </c>
    </row>
    <row r="52" spans="1:3">
      <c r="A52">
        <v>36</v>
      </c>
      <c r="B52" s="73" cm="1">
        <f t="array" ref="B52">statistics.GEOM($C$7, $C$6+A52)</f>
        <v>2.5031554978340864E-3</v>
      </c>
      <c r="C52" s="73">
        <f t="shared" si="0"/>
        <v>0.97747160098515451</v>
      </c>
    </row>
    <row r="53" spans="1:3">
      <c r="A53">
        <v>37</v>
      </c>
      <c r="B53" s="73" cm="1">
        <f t="array" ref="B53">statistics.GEOM($C$7, $C$6+A53)</f>
        <v>2.2528397385030985E-3</v>
      </c>
      <c r="C53" s="73">
        <f t="shared" si="0"/>
        <v>0.97972444072365761</v>
      </c>
    </row>
    <row r="54" spans="1:3">
      <c r="A54">
        <v>38</v>
      </c>
      <c r="B54" s="73" cm="1">
        <f t="array" ref="B54">statistics.GEOM($C$7, $C$6+A54)</f>
        <v>2.0275558345019817E-3</v>
      </c>
      <c r="C54" s="73">
        <f t="shared" si="0"/>
        <v>0.98175199655815959</v>
      </c>
    </row>
    <row r="55" spans="1:3">
      <c r="A55">
        <v>39</v>
      </c>
      <c r="B55" s="73" cm="1">
        <f t="array" ref="B55">statistics.GEOM($C$7, $C$6+A55)</f>
        <v>1.8248002743348479E-3</v>
      </c>
      <c r="C55" s="73">
        <f t="shared" si="0"/>
        <v>0.98357679683249444</v>
      </c>
    </row>
    <row r="56" spans="1:3">
      <c r="A56">
        <v>40</v>
      </c>
      <c r="B56" s="73" cm="1">
        <f t="array" ref="B56">statistics.GEOM($C$7, $C$6+A56)</f>
        <v>1.6423201886937022E-3</v>
      </c>
      <c r="C56" s="73">
        <f t="shared" si="0"/>
        <v>0.98521911702118814</v>
      </c>
    </row>
    <row r="57" spans="1:3">
      <c r="A57">
        <v>41</v>
      </c>
      <c r="B57" s="73" cm="1">
        <f t="array" ref="B57">statistics.GEOM($C$7, $C$6+A57)</f>
        <v>1.4780882047489285E-3</v>
      </c>
      <c r="C57" s="73">
        <f t="shared" si="0"/>
        <v>0.98669720522593707</v>
      </c>
    </row>
    <row r="58" spans="1:3">
      <c r="A58">
        <v>42</v>
      </c>
      <c r="B58" s="73" cm="1">
        <f t="array" ref="B58">statistics.GEOM($C$7, $C$6+A58)</f>
        <v>1.3302793959155679E-3</v>
      </c>
      <c r="C58" s="73">
        <f t="shared" si="0"/>
        <v>0.98802748462185264</v>
      </c>
    </row>
    <row r="59" spans="1:3">
      <c r="A59">
        <v>43</v>
      </c>
      <c r="B59" s="73" cm="1">
        <f t="array" ref="B59">statistics.GEOM($C$7, $C$6+A59)</f>
        <v>1.1972514912486076E-3</v>
      </c>
      <c r="C59" s="73">
        <f t="shared" si="0"/>
        <v>0.98922473611310124</v>
      </c>
    </row>
    <row r="60" spans="1:3">
      <c r="A60">
        <v>44</v>
      </c>
      <c r="B60" s="73" cm="1">
        <f t="array" ref="B60">statistics.GEOM($C$7, $C$6+A60)</f>
        <v>1.0775262489914894E-3</v>
      </c>
      <c r="C60" s="73">
        <f t="shared" si="0"/>
        <v>0.99030226236209273</v>
      </c>
    </row>
    <row r="61" spans="1:3">
      <c r="A61">
        <v>45</v>
      </c>
      <c r="B61" s="73" cm="1">
        <f t="array" ref="B61">statistics.GEOM($C$7, $C$6+A61)</f>
        <v>9.6977368230000138E-4</v>
      </c>
      <c r="C61" s="73">
        <f t="shared" si="0"/>
        <v>0.99127203604439273</v>
      </c>
    </row>
    <row r="62" spans="1:3">
      <c r="A62">
        <v>46</v>
      </c>
      <c r="B62" s="73" cm="1">
        <f t="array" ref="B62">statistics.GEOM($C$7, $C$6+A62)</f>
        <v>8.7279628496617079E-4</v>
      </c>
      <c r="C62" s="73">
        <f t="shared" si="0"/>
        <v>0.99214483232935891</v>
      </c>
    </row>
    <row r="63" spans="1:3">
      <c r="A63">
        <v>47</v>
      </c>
      <c r="B63" s="73" cm="1">
        <f t="array" ref="B63">statistics.GEOM($C$7, $C$6+A63)</f>
        <v>7.8551669139415026E-4</v>
      </c>
      <c r="C63" s="73">
        <f t="shared" si="0"/>
        <v>0.99293034902075306</v>
      </c>
    </row>
    <row r="64" spans="1:3">
      <c r="A64">
        <v>48</v>
      </c>
      <c r="B64" s="73" cm="1">
        <f t="array" ref="B64">statistics.GEOM($C$7, $C$6+A64)</f>
        <v>7.0696498733013868E-4</v>
      </c>
      <c r="C64" s="73">
        <f t="shared" si="0"/>
        <v>0.99363731400808319</v>
      </c>
    </row>
    <row r="65" spans="1:3">
      <c r="A65">
        <v>49</v>
      </c>
      <c r="B65" s="73" cm="1">
        <f t="array" ref="B65">statistics.GEOM($C$7, $C$6+A65)</f>
        <v>6.3626852352172136E-4</v>
      </c>
      <c r="C65" s="73">
        <f t="shared" si="0"/>
        <v>0.99427358253160492</v>
      </c>
    </row>
    <row r="66" spans="1:3">
      <c r="A66">
        <v>50</v>
      </c>
      <c r="B66" s="73" cm="1">
        <f t="array" ref="B66">statistics.GEOM($C$7, $C$6+A66)</f>
        <v>5.7264167116954923E-4</v>
      </c>
      <c r="C66" s="73">
        <f t="shared" si="0"/>
        <v>0.99484622420277447</v>
      </c>
    </row>
    <row r="67" spans="1:3">
      <c r="A67">
        <v>51</v>
      </c>
      <c r="B67" s="73" cm="1">
        <f t="array" ref="B67">statistics.GEOM($C$7, $C$6+A67)</f>
        <v>5.1537749823182821E-4</v>
      </c>
      <c r="C67" s="73">
        <f t="shared" si="0"/>
        <v>0.99536160170100629</v>
      </c>
    </row>
    <row r="68" spans="1:3">
      <c r="A68">
        <v>52</v>
      </c>
      <c r="B68" s="73" cm="1">
        <f t="array" ref="B68">statistics.GEOM($C$7, $C$6+A68)</f>
        <v>4.6383973676711321E-4</v>
      </c>
      <c r="C68" s="73">
        <f t="shared" si="0"/>
        <v>0.99582544143777341</v>
      </c>
    </row>
    <row r="69" spans="1:3">
      <c r="A69">
        <v>53</v>
      </c>
      <c r="B69" s="73" cm="1">
        <f t="array" ref="B69">statistics.GEOM($C$7, $C$6+A69)</f>
        <v>4.1745576891116798E-4</v>
      </c>
      <c r="C69" s="73">
        <f t="shared" si="0"/>
        <v>0.99624289720668457</v>
      </c>
    </row>
    <row r="70" spans="1:3">
      <c r="A70">
        <v>54</v>
      </c>
      <c r="B70" s="73" cm="1">
        <f t="array" ref="B70">statistics.GEOM($C$7, $C$6+A70)</f>
        <v>3.7571019493043423E-4</v>
      </c>
      <c r="C70" s="73">
        <f t="shared" si="0"/>
        <v>0.99661860740161501</v>
      </c>
    </row>
    <row r="71" spans="1:3">
      <c r="A71">
        <v>55</v>
      </c>
      <c r="B71" s="73" cm="1">
        <f t="array" ref="B71">statistics.GEOM($C$7, $C$6+A71)</f>
        <v>3.3813915797509253E-4</v>
      </c>
      <c r="C71" s="73">
        <f t="shared" si="0"/>
        <v>0.9969567465595901</v>
      </c>
    </row>
    <row r="72" spans="1:3">
      <c r="A72">
        <v>56</v>
      </c>
      <c r="B72" s="73" cm="1">
        <f t="array" ref="B72">statistics.GEOM($C$7, $C$6+A72)</f>
        <v>3.0432525090873241E-4</v>
      </c>
      <c r="C72" s="73">
        <f t="shared" si="0"/>
        <v>0.99726107181049883</v>
      </c>
    </row>
    <row r="73" spans="1:3">
      <c r="A73">
        <v>57</v>
      </c>
      <c r="B73" s="73" cm="1">
        <f t="array" ref="B73">statistics.GEOM($C$7, $C$6+A73)</f>
        <v>2.7389271417632699E-4</v>
      </c>
      <c r="C73" s="73">
        <f t="shared" si="0"/>
        <v>0.99753496452467516</v>
      </c>
    </row>
    <row r="74" spans="1:3">
      <c r="A74">
        <v>58</v>
      </c>
      <c r="B74" s="73" cm="1">
        <f t="array" ref="B74">statistics.GEOM($C$7, $C$6+A74)</f>
        <v>2.4650344857946038E-4</v>
      </c>
      <c r="C74" s="73">
        <f t="shared" si="0"/>
        <v>0.99778146797325462</v>
      </c>
    </row>
    <row r="75" spans="1:3">
      <c r="A75">
        <v>59</v>
      </c>
      <c r="B75" s="73" cm="1">
        <f t="array" ref="B75">statistics.GEOM($C$7, $C$6+A75)</f>
        <v>2.218531008111313E-4</v>
      </c>
      <c r="C75" s="73">
        <f t="shared" si="0"/>
        <v>0.99800332107406575</v>
      </c>
    </row>
    <row r="76" spans="1:3">
      <c r="A76">
        <v>60</v>
      </c>
      <c r="B76" s="73" cm="1">
        <f t="array" ref="B76">statistics.GEOM($C$7, $C$6+A76)</f>
        <v>1.9966778927482665E-4</v>
      </c>
      <c r="C76" s="73">
        <f t="shared" si="0"/>
        <v>0.99820298886334058</v>
      </c>
    </row>
    <row r="77" spans="1:3">
      <c r="A77">
        <v>61</v>
      </c>
      <c r="B77" s="73" cm="1">
        <f t="array" ref="B77">statistics.GEOM($C$7, $C$6+A77)</f>
        <v>1.7970101907849312E-4</v>
      </c>
      <c r="C77" s="73">
        <f t="shared" si="0"/>
        <v>0.99838268988241907</v>
      </c>
    </row>
    <row r="78" spans="1:3">
      <c r="A78">
        <v>62</v>
      </c>
      <c r="B78" s="73" cm="1">
        <f t="array" ref="B78">statistics.GEOM($C$7, $C$6+A78)</f>
        <v>1.6173091717064381E-4</v>
      </c>
      <c r="C78" s="73">
        <f t="shared" si="0"/>
        <v>0.99854442079958972</v>
      </c>
    </row>
    <row r="79" spans="1:3">
      <c r="A79">
        <v>63</v>
      </c>
      <c r="B79" s="73" cm="1">
        <f t="array" ref="B79">statistics.GEOM($C$7, $C$6+A79)</f>
        <v>1.4555781672243029E-4</v>
      </c>
      <c r="C79" s="73">
        <f t="shared" si="0"/>
        <v>0.99868997861631215</v>
      </c>
    </row>
    <row r="80" spans="1:3">
      <c r="A80">
        <v>64</v>
      </c>
      <c r="B80" s="73" cm="1">
        <f t="array" ref="B80">statistics.GEOM($C$7, $C$6+A80)</f>
        <v>1.3100204523652792E-4</v>
      </c>
      <c r="C80" s="73">
        <f t="shared" ref="C80:C116" si="1">C79+B80</f>
        <v>0.99882098066154867</v>
      </c>
    </row>
    <row r="81" spans="1:3">
      <c r="A81">
        <v>65</v>
      </c>
      <c r="B81" s="73" cm="1">
        <f t="array" ref="B81">statistics.GEOM($C$7, $C$6+A81)</f>
        <v>1.1790183634730056E-4</v>
      </c>
      <c r="C81" s="73">
        <f t="shared" si="1"/>
        <v>0.99893888249789597</v>
      </c>
    </row>
    <row r="82" spans="1:3">
      <c r="A82">
        <v>66</v>
      </c>
      <c r="B82" s="73" cm="1">
        <f t="array" ref="B82">statistics.GEOM($C$7, $C$6+A82)</f>
        <v>1.061116490745917E-4</v>
      </c>
      <c r="C82" s="73">
        <f t="shared" si="1"/>
        <v>0.99904499414697057</v>
      </c>
    </row>
    <row r="83" spans="1:3">
      <c r="A83">
        <v>67</v>
      </c>
      <c r="B83" s="73" cm="1">
        <f t="array" ref="B83">statistics.GEOM($C$7, $C$6+A83)</f>
        <v>9.5500487077515572E-5</v>
      </c>
      <c r="C83" s="73">
        <f t="shared" si="1"/>
        <v>0.99914049463404808</v>
      </c>
    </row>
    <row r="84" spans="1:3">
      <c r="A84">
        <v>68</v>
      </c>
      <c r="B84" s="73" cm="1">
        <f t="array" ref="B84">statistics.GEOM($C$7, $C$6+A84)</f>
        <v>8.5950436186976731E-5</v>
      </c>
      <c r="C84" s="73">
        <f t="shared" si="1"/>
        <v>0.99922644507023506</v>
      </c>
    </row>
    <row r="85" spans="1:3">
      <c r="A85">
        <v>69</v>
      </c>
      <c r="B85" s="73" cm="1">
        <f t="array" ref="B85">statistics.GEOM($C$7, $C$6+A85)</f>
        <v>7.7355391113087535E-5</v>
      </c>
      <c r="C85" s="73">
        <f t="shared" si="1"/>
        <v>0.99930380046134815</v>
      </c>
    </row>
    <row r="86" spans="1:3">
      <c r="A86">
        <v>70</v>
      </c>
      <c r="B86" s="73" cm="1">
        <f t="array" ref="B86">statistics.GEOM($C$7, $C$6+A86)</f>
        <v>6.9619854912161827E-5</v>
      </c>
      <c r="C86" s="73">
        <f t="shared" si="1"/>
        <v>0.99937342031626031</v>
      </c>
    </row>
    <row r="87" spans="1:3">
      <c r="A87">
        <v>71</v>
      </c>
      <c r="B87" s="73" cm="1">
        <f t="array" ref="B87">statistics.GEOM($C$7, $C$6+A87)</f>
        <v>6.2657869420945644E-5</v>
      </c>
      <c r="C87" s="73">
        <f t="shared" si="1"/>
        <v>0.99943607818568125</v>
      </c>
    </row>
    <row r="88" spans="1:3">
      <c r="A88">
        <v>72</v>
      </c>
      <c r="B88" s="73" cm="1">
        <f t="array" ref="B88">statistics.GEOM($C$7, $C$6+A88)</f>
        <v>5.6392080296063796E-5</v>
      </c>
      <c r="C88" s="73">
        <f t="shared" si="1"/>
        <v>0.99949247026597732</v>
      </c>
    </row>
    <row r="89" spans="1:3">
      <c r="A89">
        <v>73</v>
      </c>
      <c r="B89" s="73" cm="1">
        <f t="array" ref="B89">statistics.GEOM($C$7, $C$6+A89)</f>
        <v>5.0752874813042581E-5</v>
      </c>
      <c r="C89" s="73">
        <f t="shared" si="1"/>
        <v>0.99954322314079036</v>
      </c>
    </row>
    <row r="90" spans="1:3">
      <c r="A90">
        <v>74</v>
      </c>
      <c r="B90" s="73" cm="1">
        <f t="array" ref="B90">statistics.GEOM($C$7, $C$6+A90)</f>
        <v>4.5677585148951039E-5</v>
      </c>
      <c r="C90" s="73">
        <f t="shared" si="1"/>
        <v>0.99958890072593931</v>
      </c>
    </row>
    <row r="91" spans="1:3">
      <c r="A91">
        <v>75</v>
      </c>
      <c r="B91" s="73" cm="1">
        <f t="array" ref="B91">statistics.GEOM($C$7, $C$6+A91)</f>
        <v>4.1109826270258054E-5</v>
      </c>
      <c r="C91" s="73">
        <f t="shared" si="1"/>
        <v>0.99963001055220957</v>
      </c>
    </row>
    <row r="92" spans="1:3">
      <c r="A92">
        <v>76</v>
      </c>
      <c r="B92" s="73" cm="1">
        <f t="array" ref="B92">statistics.GEOM($C$7, $C$6+A92)</f>
        <v>3.6998844734625891E-5</v>
      </c>
      <c r="C92" s="73">
        <f t="shared" si="1"/>
        <v>0.9996670093969442</v>
      </c>
    </row>
    <row r="93" spans="1:3">
      <c r="A93">
        <v>77</v>
      </c>
      <c r="B93" s="73" cm="1">
        <f t="array" ref="B93">statistics.GEOM($C$7, $C$6+A93)</f>
        <v>3.3298958442173898E-5</v>
      </c>
      <c r="C93" s="73">
        <f t="shared" si="1"/>
        <v>0.99970030835538637</v>
      </c>
    </row>
    <row r="94" spans="1:3">
      <c r="A94">
        <v>78</v>
      </c>
      <c r="B94" s="73" cm="1">
        <f t="array" ref="B94">statistics.GEOM($C$7, $C$6+A94)</f>
        <v>2.9969063689350151E-5</v>
      </c>
      <c r="C94" s="73">
        <f t="shared" si="1"/>
        <v>0.99973027741907572</v>
      </c>
    </row>
    <row r="95" spans="1:3">
      <c r="A95">
        <v>79</v>
      </c>
      <c r="B95" s="73" cm="1">
        <f t="array" ref="B95">statistics.GEOM($C$7, $C$6+A95)</f>
        <v>2.6972156774718314E-5</v>
      </c>
      <c r="C95" s="73">
        <f t="shared" si="1"/>
        <v>0.99975724957585044</v>
      </c>
    </row>
    <row r="96" spans="1:3">
      <c r="A96">
        <v>80</v>
      </c>
      <c r="B96" s="73" cm="1">
        <f t="array" ref="B96">statistics.GEOM($C$7, $C$6+A96)</f>
        <v>2.4274941097246483E-5</v>
      </c>
      <c r="C96" s="73">
        <f t="shared" si="1"/>
        <v>0.99978152451694768</v>
      </c>
    </row>
    <row r="97" spans="1:3">
      <c r="A97">
        <v>81</v>
      </c>
      <c r="B97" s="73" cm="1">
        <f t="array" ref="B97">statistics.GEOM($C$7, $C$6+A97)</f>
        <v>2.1847446987521835E-5</v>
      </c>
      <c r="C97" s="73">
        <f t="shared" si="1"/>
        <v>0.99980337196393521</v>
      </c>
    </row>
    <row r="98" spans="1:3">
      <c r="A98">
        <v>82</v>
      </c>
      <c r="B98" s="73" cm="1">
        <f t="array" ref="B98">statistics.GEOM($C$7, $C$6+A98)</f>
        <v>1.9662702470668592E-5</v>
      </c>
      <c r="C98" s="73">
        <f t="shared" si="1"/>
        <v>0.99982303466640587</v>
      </c>
    </row>
    <row r="99" spans="1:3">
      <c r="A99">
        <v>83</v>
      </c>
      <c r="B99" s="73" cm="1">
        <f t="array" ref="B99">statistics.GEOM($C$7, $C$6+A99)</f>
        <v>1.7696433133096434E-5</v>
      </c>
      <c r="C99" s="73">
        <f t="shared" si="1"/>
        <v>0.99984073109953897</v>
      </c>
    </row>
    <row r="100" spans="1:3">
      <c r="A100">
        <v>84</v>
      </c>
      <c r="B100" s="73" cm="1">
        <f t="array" ref="B100">statistics.GEOM($C$7, $C$6+A100)</f>
        <v>1.592678927408997E-5</v>
      </c>
      <c r="C100" s="73">
        <f t="shared" si="1"/>
        <v>0.99985665788881306</v>
      </c>
    </row>
    <row r="101" spans="1:3">
      <c r="A101">
        <v>85</v>
      </c>
      <c r="B101" s="73" cm="1">
        <f t="array" ref="B101">statistics.GEOM($C$7, $C$6+A101)</f>
        <v>1.4334110346680973E-5</v>
      </c>
      <c r="C101" s="73">
        <f t="shared" si="1"/>
        <v>0.99987099199915974</v>
      </c>
    </row>
    <row r="102" spans="1:3">
      <c r="A102">
        <v>86</v>
      </c>
      <c r="B102" s="73" cm="1">
        <f t="array" ref="B102">statistics.GEOM($C$7, $C$6+A102)</f>
        <v>1.2900699402962346E-5</v>
      </c>
      <c r="C102" s="73">
        <f t="shared" si="1"/>
        <v>0.9998838926985627</v>
      </c>
    </row>
    <row r="103" spans="1:3">
      <c r="A103">
        <v>87</v>
      </c>
      <c r="B103" s="73" cm="1">
        <f t="array" ref="B103">statistics.GEOM($C$7, $C$6+A103)</f>
        <v>1.1610629371716641E-5</v>
      </c>
      <c r="C103" s="73">
        <f t="shared" si="1"/>
        <v>0.99989550332793442</v>
      </c>
    </row>
    <row r="104" spans="1:3">
      <c r="A104">
        <v>88</v>
      </c>
      <c r="B104" s="73" cm="1">
        <f t="array" ref="B104">statistics.GEOM($C$7, $C$6+A104)</f>
        <v>1.0449566616443917E-5</v>
      </c>
      <c r="C104" s="73">
        <f t="shared" si="1"/>
        <v>0.99990595289455086</v>
      </c>
    </row>
    <row r="105" spans="1:3">
      <c r="A105">
        <v>89</v>
      </c>
      <c r="B105" s="73" cm="1">
        <f t="array" ref="B105">statistics.GEOM($C$7, $C$6+A105)</f>
        <v>9.4046099547995254E-6</v>
      </c>
      <c r="C105" s="73">
        <f t="shared" si="1"/>
        <v>0.99991535750450566</v>
      </c>
    </row>
    <row r="106" spans="1:3">
      <c r="A106">
        <v>90</v>
      </c>
      <c r="B106" s="73" cm="1">
        <f t="array" ref="B106">statistics.GEOM($C$7, $C$6+A106)</f>
        <v>8.4641487774206325E-6</v>
      </c>
      <c r="C106" s="73">
        <f t="shared" si="1"/>
        <v>0.99992382165328308</v>
      </c>
    </row>
    <row r="107" spans="1:3">
      <c r="A107">
        <v>91</v>
      </c>
      <c r="B107" s="73" cm="1">
        <f t="array" ref="B107">statistics.GEOM($C$7, $C$6+A107)</f>
        <v>7.6177338996785693E-6</v>
      </c>
      <c r="C107" s="73">
        <f t="shared" si="1"/>
        <v>0.99993143938718276</v>
      </c>
    </row>
    <row r="108" spans="1:3">
      <c r="A108">
        <v>92</v>
      </c>
      <c r="B108" s="73" cm="1">
        <f t="array" ref="B108">statistics.GEOM($C$7, $C$6+A108)</f>
        <v>6.8559602368623018E-6</v>
      </c>
      <c r="C108" s="73">
        <f t="shared" si="1"/>
        <v>0.99993829534741963</v>
      </c>
    </row>
    <row r="109" spans="1:3">
      <c r="A109">
        <v>93</v>
      </c>
      <c r="B109" s="73" cm="1">
        <f t="array" ref="B109">statistics.GEOM($C$7, $C$6+A109)</f>
        <v>6.1703644860244822E-6</v>
      </c>
      <c r="C109" s="73">
        <f t="shared" si="1"/>
        <v>0.99994446571190565</v>
      </c>
    </row>
    <row r="110" spans="1:3">
      <c r="A110">
        <v>94</v>
      </c>
      <c r="B110" s="73" cm="1">
        <f t="array" ref="B110">statistics.GEOM($C$7, $C$6+A110)</f>
        <v>5.5533278100483585E-6</v>
      </c>
      <c r="C110" s="73">
        <f t="shared" si="1"/>
        <v>0.9999500190397157</v>
      </c>
    </row>
    <row r="111" spans="1:3">
      <c r="A111">
        <v>95</v>
      </c>
      <c r="B111" s="73" cm="1">
        <f t="array" ref="B111">statistics.GEOM($C$7, $C$6+A111)</f>
        <v>4.9979948926193174E-6</v>
      </c>
      <c r="C111" s="73">
        <f t="shared" si="1"/>
        <v>0.99995501703460832</v>
      </c>
    </row>
    <row r="112" spans="1:3">
      <c r="A112">
        <v>96</v>
      </c>
      <c r="B112" s="73" cm="1">
        <f t="array" ref="B112">statistics.GEOM($C$7, $C$6+A112)</f>
        <v>4.4981957216805313E-6</v>
      </c>
      <c r="C112" s="73">
        <f t="shared" si="1"/>
        <v>0.99995951523033</v>
      </c>
    </row>
    <row r="113" spans="1:3">
      <c r="A113">
        <v>97</v>
      </c>
      <c r="B113" s="73" cm="1">
        <f t="array" ref="B113">statistics.GEOM($C$7, $C$6+A113)</f>
        <v>4.0483760130882729E-6</v>
      </c>
      <c r="C113" s="73">
        <f t="shared" si="1"/>
        <v>0.99996356360634309</v>
      </c>
    </row>
    <row r="114" spans="1:3">
      <c r="A114">
        <v>98</v>
      </c>
      <c r="B114" s="73" cm="1">
        <f t="array" ref="B114">statistics.GEOM($C$7, $C$6+A114)</f>
        <v>3.6435383208299754E-6</v>
      </c>
      <c r="C114" s="73">
        <f t="shared" si="1"/>
        <v>0.99996720714466392</v>
      </c>
    </row>
    <row r="115" spans="1:3">
      <c r="A115">
        <v>99</v>
      </c>
      <c r="B115" s="73" cm="1">
        <f t="array" ref="B115">statistics.GEOM($C$7, $C$6+A115)</f>
        <v>3.2791845114843454E-6</v>
      </c>
      <c r="C115" s="73">
        <f t="shared" si="1"/>
        <v>0.9999704863291754</v>
      </c>
    </row>
    <row r="116" spans="1:3">
      <c r="A116">
        <v>100</v>
      </c>
      <c r="B116" s="73" cm="1">
        <f t="array" ref="B116">statistics.GEOM($C$7, $C$6+A116)</f>
        <v>2.9512661967601161E-6</v>
      </c>
      <c r="C116" s="73">
        <f t="shared" si="1"/>
        <v>0.99997343759537216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6FA8C-D362-40EE-BB37-852E38F5B375}">
  <sheetPr codeName="Sheet10"/>
  <dimension ref="A1:E117"/>
  <sheetViews>
    <sheetView workbookViewId="0">
      <selection activeCell="B1" sqref="B1"/>
    </sheetView>
  </sheetViews>
  <sheetFormatPr defaultRowHeight="18.75"/>
  <cols>
    <col min="1" max="1" width="11" bestFit="1" customWidth="1"/>
    <col min="2" max="2" width="13.875" bestFit="1" customWidth="1"/>
    <col min="3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93</v>
      </c>
      <c r="C2" s="74" t="s">
        <v>98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91</v>
      </c>
      <c r="C6" s="79">
        <v>0</v>
      </c>
      <c r="D6" t="s">
        <v>76</v>
      </c>
      <c r="E6" s="87" t="s">
        <v>97</v>
      </c>
    </row>
    <row r="7" spans="1:5">
      <c r="B7" t="s">
        <v>92</v>
      </c>
      <c r="C7" s="80">
        <v>20</v>
      </c>
      <c r="E7" s="77" t="s">
        <v>96</v>
      </c>
    </row>
    <row r="8" spans="1:5">
      <c r="B8" t="s">
        <v>73</v>
      </c>
      <c r="C8" s="80">
        <v>0.3</v>
      </c>
      <c r="E8" s="78" t="s">
        <v>99</v>
      </c>
    </row>
    <row r="9" spans="1:5" ht="19.5" thickBot="1">
      <c r="C9" s="81"/>
      <c r="E9" s="75"/>
    </row>
    <row r="10" spans="1:5" ht="19.5" thickBot="1">
      <c r="E10" s="75"/>
    </row>
    <row r="11" spans="1:5">
      <c r="B11" s="82" t="s">
        <v>65</v>
      </c>
      <c r="C11" s="83">
        <f>C7*(1-C8)/C8</f>
        <v>46.666666666666671</v>
      </c>
      <c r="D11" t="s">
        <v>94</v>
      </c>
      <c r="E11" s="75"/>
    </row>
    <row r="12" spans="1:5" ht="19.5" thickBot="1">
      <c r="B12" s="84" t="s">
        <v>69</v>
      </c>
      <c r="C12" s="85">
        <f>C7*(1-C8)/(C8^2)</f>
        <v>155.55555555555557</v>
      </c>
      <c r="D12" t="s">
        <v>95</v>
      </c>
    </row>
    <row r="13" spans="1:5">
      <c r="B13" s="67"/>
      <c r="C13" s="67"/>
    </row>
    <row r="14" spans="1:5">
      <c r="A14" t="s">
        <v>91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 t="shared" ref="B16:B47" si="0">_xlfn.NEGBINOM.DIST($C$6+A16,$C$7,$C$8, FALSE)</f>
        <v>3.4867844009999942E-11</v>
      </c>
      <c r="C16" s="73">
        <f t="shared" ref="C16:C47" si="1">C15+B16</f>
        <v>3.4867844009999942E-11</v>
      </c>
    </row>
    <row r="17" spans="1:3">
      <c r="A17">
        <v>1</v>
      </c>
      <c r="B17" s="73">
        <f t="shared" si="0"/>
        <v>4.8814981614000038E-10</v>
      </c>
      <c r="C17" s="73">
        <f t="shared" si="1"/>
        <v>5.2301766015000035E-10</v>
      </c>
    </row>
    <row r="18" spans="1:3">
      <c r="A18">
        <v>2</v>
      </c>
      <c r="B18" s="73">
        <f t="shared" si="0"/>
        <v>3.5879011486290151E-9</v>
      </c>
      <c r="C18" s="73">
        <f t="shared" si="1"/>
        <v>4.1109188087790152E-9</v>
      </c>
    </row>
    <row r="19" spans="1:3">
      <c r="A19">
        <v>3</v>
      </c>
      <c r="B19" s="73">
        <f t="shared" si="0"/>
        <v>1.8417892562962256E-8</v>
      </c>
      <c r="C19" s="73">
        <f t="shared" si="1"/>
        <v>2.2528811371741272E-8</v>
      </c>
    </row>
    <row r="20" spans="1:3">
      <c r="A20">
        <v>4</v>
      </c>
      <c r="B20" s="73">
        <f t="shared" si="0"/>
        <v>7.4132017565922843E-8</v>
      </c>
      <c r="C20" s="73">
        <f t="shared" si="1"/>
        <v>9.6660828937664115E-8</v>
      </c>
    </row>
    <row r="21" spans="1:3">
      <c r="A21">
        <v>5</v>
      </c>
      <c r="B21" s="73">
        <f t="shared" si="0"/>
        <v>2.4908357902150094E-7</v>
      </c>
      <c r="C21" s="73">
        <f t="shared" si="1"/>
        <v>3.4574440795916504E-7</v>
      </c>
    </row>
    <row r="22" spans="1:3">
      <c r="A22">
        <v>6</v>
      </c>
      <c r="B22" s="73">
        <f t="shared" si="0"/>
        <v>7.264937721460448E-7</v>
      </c>
      <c r="C22" s="73">
        <f t="shared" si="1"/>
        <v>1.0722381801052098E-6</v>
      </c>
    </row>
    <row r="23" spans="1:3">
      <c r="A23">
        <v>7</v>
      </c>
      <c r="B23" s="73">
        <f t="shared" si="0"/>
        <v>1.8888838075797103E-6</v>
      </c>
      <c r="C23" s="73">
        <f t="shared" si="1"/>
        <v>2.9611219876849199E-6</v>
      </c>
    </row>
    <row r="24" spans="1:3">
      <c r="A24">
        <v>8</v>
      </c>
      <c r="B24" s="73">
        <f t="shared" si="0"/>
        <v>4.4624879954070703E-6</v>
      </c>
      <c r="C24" s="73">
        <f t="shared" si="1"/>
        <v>7.4236099830919902E-6</v>
      </c>
    </row>
    <row r="25" spans="1:3">
      <c r="A25">
        <v>9</v>
      </c>
      <c r="B25" s="73">
        <f t="shared" si="0"/>
        <v>9.7183071899976527E-6</v>
      </c>
      <c r="C25" s="73">
        <f t="shared" si="1"/>
        <v>1.7141917173089644E-5</v>
      </c>
    </row>
    <row r="26" spans="1:3">
      <c r="A26">
        <v>10</v>
      </c>
      <c r="B26" s="73">
        <f t="shared" si="0"/>
        <v>1.9728163595695152E-5</v>
      </c>
      <c r="C26" s="73">
        <f t="shared" si="1"/>
        <v>3.6870080768784799E-5</v>
      </c>
    </row>
    <row r="27" spans="1:3">
      <c r="A27">
        <v>11</v>
      </c>
      <c r="B27" s="73">
        <f t="shared" si="0"/>
        <v>3.766285777359983E-5</v>
      </c>
      <c r="C27" s="73">
        <f t="shared" si="1"/>
        <v>7.4532938542384635E-5</v>
      </c>
    </row>
    <row r="28" spans="1:3">
      <c r="A28">
        <v>12</v>
      </c>
      <c r="B28" s="73">
        <f t="shared" si="0"/>
        <v>6.8107001140592954E-5</v>
      </c>
      <c r="C28" s="73">
        <f t="shared" si="1"/>
        <v>1.426399396829776E-4</v>
      </c>
    </row>
    <row r="29" spans="1:3">
      <c r="A29">
        <v>13</v>
      </c>
      <c r="B29" s="73">
        <f t="shared" si="0"/>
        <v>1.1735360196532985E-4</v>
      </c>
      <c r="C29" s="73">
        <f t="shared" si="1"/>
        <v>2.5999354164830745E-4</v>
      </c>
    </row>
    <row r="30" spans="1:3">
      <c r="A30">
        <v>14</v>
      </c>
      <c r="B30" s="73">
        <f t="shared" si="0"/>
        <v>1.936334432427947E-4</v>
      </c>
      <c r="C30" s="73">
        <f t="shared" si="1"/>
        <v>4.5362698489110216E-4</v>
      </c>
    </row>
    <row r="31" spans="1:3">
      <c r="A31">
        <v>15</v>
      </c>
      <c r="B31" s="73">
        <f t="shared" si="0"/>
        <v>3.072317299452338E-4</v>
      </c>
      <c r="C31" s="73">
        <f t="shared" si="1"/>
        <v>7.6085871483633596E-4</v>
      </c>
    </row>
    <row r="32" spans="1:3">
      <c r="A32">
        <v>16</v>
      </c>
      <c r="B32" s="73">
        <f t="shared" si="0"/>
        <v>4.7044858647863952E-4</v>
      </c>
      <c r="C32" s="73">
        <f t="shared" si="1"/>
        <v>1.2313073013149754E-3</v>
      </c>
    </row>
    <row r="33" spans="1:3">
      <c r="A33">
        <v>17</v>
      </c>
      <c r="B33" s="73">
        <f t="shared" si="0"/>
        <v>6.9737084583892234E-4</v>
      </c>
      <c r="C33" s="73">
        <f t="shared" si="1"/>
        <v>1.9286781471538977E-3</v>
      </c>
    </row>
    <row r="34" spans="1:3">
      <c r="A34">
        <v>18</v>
      </c>
      <c r="B34" s="73">
        <f t="shared" si="0"/>
        <v>1.0034391615126718E-3</v>
      </c>
      <c r="C34" s="73">
        <f t="shared" si="1"/>
        <v>2.9321173086665694E-3</v>
      </c>
    </row>
    <row r="35" spans="1:3">
      <c r="A35">
        <v>19</v>
      </c>
      <c r="B35" s="73">
        <f t="shared" si="0"/>
        <v>1.4048148261177442E-3</v>
      </c>
      <c r="C35" s="73">
        <f t="shared" si="1"/>
        <v>4.3369321347843139E-3</v>
      </c>
    </row>
    <row r="36" spans="1:3">
      <c r="A36">
        <v>20</v>
      </c>
      <c r="B36" s="73">
        <f t="shared" si="0"/>
        <v>1.9175722376507203E-3</v>
      </c>
      <c r="C36" s="73">
        <f t="shared" si="1"/>
        <v>6.2545043724350343E-3</v>
      </c>
    </row>
    <row r="37" spans="1:3">
      <c r="A37">
        <v>21</v>
      </c>
      <c r="B37" s="73">
        <f t="shared" si="0"/>
        <v>2.5567629835342894E-3</v>
      </c>
      <c r="C37" s="73">
        <f t="shared" si="1"/>
        <v>8.8112673559693246E-3</v>
      </c>
    </row>
    <row r="38" spans="1:3">
      <c r="A38">
        <v>22</v>
      </c>
      <c r="B38" s="73">
        <f t="shared" si="0"/>
        <v>3.3354135285197321E-3</v>
      </c>
      <c r="C38" s="73">
        <f t="shared" si="1"/>
        <v>1.2146680884489057E-2</v>
      </c>
    </row>
    <row r="39" spans="1:3">
      <c r="A39">
        <v>23</v>
      </c>
      <c r="B39" s="73">
        <f t="shared" si="0"/>
        <v>4.2635285973252265E-3</v>
      </c>
      <c r="C39" s="73">
        <f t="shared" si="1"/>
        <v>1.6410209481814285E-2</v>
      </c>
    </row>
    <row r="40" spans="1:3">
      <c r="A40">
        <v>24</v>
      </c>
      <c r="B40" s="73">
        <f t="shared" si="0"/>
        <v>5.3471754491453867E-3</v>
      </c>
      <c r="C40" s="73">
        <f t="shared" si="1"/>
        <v>2.1757384930959672E-2</v>
      </c>
    </row>
    <row r="41" spans="1:3">
      <c r="A41">
        <v>25</v>
      </c>
      <c r="B41" s="73">
        <f t="shared" si="0"/>
        <v>6.5877201533471154E-3</v>
      </c>
      <c r="C41" s="73">
        <f t="shared" si="1"/>
        <v>2.8345105084306786E-2</v>
      </c>
    </row>
    <row r="42" spans="1:3">
      <c r="A42">
        <v>26</v>
      </c>
      <c r="B42" s="73">
        <f t="shared" si="0"/>
        <v>7.981276339632087E-3</v>
      </c>
      <c r="C42" s="73">
        <f t="shared" si="1"/>
        <v>3.6326381423938875E-2</v>
      </c>
    </row>
    <row r="43" spans="1:3">
      <c r="A43">
        <v>27</v>
      </c>
      <c r="B43" s="73">
        <f t="shared" si="0"/>
        <v>9.5184110420797278E-3</v>
      </c>
      <c r="C43" s="73">
        <f t="shared" si="1"/>
        <v>4.5844792466018601E-2</v>
      </c>
    </row>
    <row r="44" spans="1:3">
      <c r="A44">
        <v>28</v>
      </c>
      <c r="B44" s="73">
        <f t="shared" si="0"/>
        <v>1.1184132974443704E-2</v>
      </c>
      <c r="C44" s="73">
        <f t="shared" si="1"/>
        <v>5.7028925440462307E-2</v>
      </c>
    </row>
    <row r="45" spans="1:3">
      <c r="A45">
        <v>29</v>
      </c>
      <c r="B45" s="73">
        <f t="shared" si="0"/>
        <v>1.2958167860045102E-2</v>
      </c>
      <c r="C45" s="73">
        <f t="shared" si="1"/>
        <v>6.9987093300507411E-2</v>
      </c>
    </row>
    <row r="46" spans="1:3">
      <c r="A46">
        <v>30</v>
      </c>
      <c r="B46" s="73">
        <f t="shared" si="0"/>
        <v>1.4815505253318257E-2</v>
      </c>
      <c r="C46" s="73">
        <f t="shared" si="1"/>
        <v>8.4802598553825673E-2</v>
      </c>
    </row>
    <row r="47" spans="1:3">
      <c r="A47">
        <v>31</v>
      </c>
      <c r="B47" s="73">
        <f t="shared" si="0"/>
        <v>1.6727183350520588E-2</v>
      </c>
      <c r="C47" s="73">
        <f t="shared" si="1"/>
        <v>0.10152978190434626</v>
      </c>
    </row>
    <row r="48" spans="1:3">
      <c r="A48">
        <v>32</v>
      </c>
      <c r="B48" s="73">
        <f t="shared" ref="B48:B79" si="2">_xlfn.NEGBINOM.DIST($C$6+A48,$C$7,$C$8, FALSE)</f>
        <v>1.8661263925424536E-2</v>
      </c>
      <c r="C48" s="73">
        <f t="shared" ref="C48:C79" si="3">C47+B48</f>
        <v>0.1201910458297708</v>
      </c>
    </row>
    <row r="49" spans="1:3">
      <c r="A49">
        <v>33</v>
      </c>
      <c r="B49" s="73">
        <f t="shared" si="2"/>
        <v>2.0583939602589498E-2</v>
      </c>
      <c r="C49" s="73">
        <f t="shared" si="3"/>
        <v>0.14077498543236031</v>
      </c>
    </row>
    <row r="50" spans="1:3">
      <c r="A50">
        <v>34</v>
      </c>
      <c r="B50" s="73">
        <f t="shared" si="2"/>
        <v>2.2460710566355003E-2</v>
      </c>
      <c r="C50" s="73">
        <f t="shared" si="3"/>
        <v>0.16323569599871532</v>
      </c>
    </row>
    <row r="51" spans="1:3">
      <c r="A51">
        <v>35</v>
      </c>
      <c r="B51" s="73">
        <f t="shared" si="2"/>
        <v>2.4257567411663423E-2</v>
      </c>
      <c r="C51" s="73">
        <f t="shared" si="3"/>
        <v>0.18749326341037875</v>
      </c>
    </row>
    <row r="52" spans="1:3">
      <c r="A52">
        <v>36</v>
      </c>
      <c r="B52" s="73">
        <f t="shared" si="2"/>
        <v>2.5942120704140037E-2</v>
      </c>
      <c r="C52" s="73">
        <f t="shared" si="3"/>
        <v>0.21343538411451879</v>
      </c>
    </row>
    <row r="53" spans="1:3">
      <c r="A53">
        <v>37</v>
      </c>
      <c r="B53" s="73">
        <f t="shared" si="2"/>
        <v>2.7484625178440254E-2</v>
      </c>
      <c r="C53" s="73">
        <f t="shared" si="3"/>
        <v>0.24092000929295904</v>
      </c>
    </row>
    <row r="54" spans="1:3">
      <c r="A54">
        <v>38</v>
      </c>
      <c r="B54" s="73">
        <f t="shared" si="2"/>
        <v>2.8858856437362256E-2</v>
      </c>
      <c r="C54" s="73">
        <f t="shared" si="3"/>
        <v>0.26977886573032128</v>
      </c>
    </row>
    <row r="55" spans="1:3">
      <c r="A55">
        <v>39</v>
      </c>
      <c r="B55" s="73">
        <f t="shared" si="2"/>
        <v>3.004280952197199E-2</v>
      </c>
      <c r="C55" s="73">
        <f t="shared" si="3"/>
        <v>0.29982167525229325</v>
      </c>
    </row>
    <row r="56" spans="1:3">
      <c r="A56">
        <v>40</v>
      </c>
      <c r="B56" s="73">
        <f t="shared" si="2"/>
        <v>3.101920083143608E-2</v>
      </c>
      <c r="C56" s="73">
        <f t="shared" si="3"/>
        <v>0.33084087608372931</v>
      </c>
    </row>
    <row r="57" spans="1:3">
      <c r="A57">
        <v>41</v>
      </c>
      <c r="B57" s="73">
        <f t="shared" si="2"/>
        <v>3.1775766705373541E-2</v>
      </c>
      <c r="C57" s="73">
        <f t="shared" si="3"/>
        <v>0.36261664278910283</v>
      </c>
    </row>
    <row r="58" spans="1:3">
      <c r="A58">
        <v>42</v>
      </c>
      <c r="B58" s="73">
        <f t="shared" si="2"/>
        <v>3.2305362817129778E-2</v>
      </c>
      <c r="C58" s="73">
        <f t="shared" si="3"/>
        <v>0.39492200560623258</v>
      </c>
    </row>
    <row r="59" spans="1:3">
      <c r="A59">
        <v>43</v>
      </c>
      <c r="B59" s="73">
        <f t="shared" si="2"/>
        <v>3.2605877820079808E-2</v>
      </c>
      <c r="C59" s="73">
        <f t="shared" si="3"/>
        <v>0.42752788342631237</v>
      </c>
    </row>
    <row r="60" spans="1:3">
      <c r="A60">
        <v>44</v>
      </c>
      <c r="B60" s="73">
        <f t="shared" si="2"/>
        <v>3.2679982087852708E-2</v>
      </c>
      <c r="C60" s="73">
        <f t="shared" si="3"/>
        <v>0.46020786551416509</v>
      </c>
    </row>
    <row r="61" spans="1:3">
      <c r="A61">
        <v>45</v>
      </c>
      <c r="B61" s="73">
        <f t="shared" si="2"/>
        <v>3.2534737723017806E-2</v>
      </c>
      <c r="C61" s="73">
        <f t="shared" si="3"/>
        <v>0.49274260323718289</v>
      </c>
    </row>
    <row r="62" spans="1:3">
      <c r="A62">
        <v>46</v>
      </c>
      <c r="B62" s="73">
        <f t="shared" si="2"/>
        <v>3.2181099269506741E-2</v>
      </c>
      <c r="C62" s="73">
        <f t="shared" si="3"/>
        <v>0.52492370250668963</v>
      </c>
    </row>
    <row r="63" spans="1:3">
      <c r="A63">
        <v>47</v>
      </c>
      <c r="B63" s="73">
        <f t="shared" si="2"/>
        <v>3.1633335877685347E-2</v>
      </c>
      <c r="C63" s="73">
        <f t="shared" si="3"/>
        <v>0.55655703838437498</v>
      </c>
    </row>
    <row r="64" spans="1:3">
      <c r="A64">
        <v>48</v>
      </c>
      <c r="B64" s="73">
        <f t="shared" si="2"/>
        <v>3.0908405263821742E-2</v>
      </c>
      <c r="C64" s="73">
        <f t="shared" si="3"/>
        <v>0.58746544364819675</v>
      </c>
    </row>
    <row r="65" spans="1:3">
      <c r="A65">
        <v>49</v>
      </c>
      <c r="B65" s="73">
        <f t="shared" si="2"/>
        <v>3.0025307970569709E-2</v>
      </c>
      <c r="C65" s="73">
        <f t="shared" si="3"/>
        <v>0.61749075161876643</v>
      </c>
    </row>
    <row r="66" spans="1:3">
      <c r="A66">
        <v>50</v>
      </c>
      <c r="B66" s="73">
        <f t="shared" si="2"/>
        <v>2.9004447499570343E-2</v>
      </c>
      <c r="C66" s="73">
        <f t="shared" si="3"/>
        <v>0.64649519911833675</v>
      </c>
    </row>
    <row r="67" spans="1:3">
      <c r="A67">
        <v>51</v>
      </c>
      <c r="B67" s="73">
        <f t="shared" si="2"/>
        <v>2.7867018185861681E-2</v>
      </c>
      <c r="C67" s="73">
        <f t="shared" si="3"/>
        <v>0.67436221730419843</v>
      </c>
    </row>
    <row r="68" spans="1:3">
      <c r="A68">
        <v>52</v>
      </c>
      <c r="B68" s="73">
        <f t="shared" si="2"/>
        <v>2.6634438535333177E-2</v>
      </c>
      <c r="C68" s="73">
        <f t="shared" si="3"/>
        <v>0.70099665583953163</v>
      </c>
    </row>
    <row r="69" spans="1:3">
      <c r="A69">
        <v>53</v>
      </c>
      <c r="B69" s="73">
        <f t="shared" si="2"/>
        <v>2.5327843437373446E-2</v>
      </c>
      <c r="C69" s="73">
        <f t="shared" si="3"/>
        <v>0.72632449927690512</v>
      </c>
    </row>
    <row r="70" spans="1:3">
      <c r="A70">
        <v>54</v>
      </c>
      <c r="B70" s="73">
        <f t="shared" si="2"/>
        <v>2.3967644437958954E-2</v>
      </c>
      <c r="C70" s="73">
        <f t="shared" si="3"/>
        <v>0.75029214371486408</v>
      </c>
    </row>
    <row r="71" spans="1:3">
      <c r="A71">
        <v>55</v>
      </c>
      <c r="B71" s="73">
        <f t="shared" si="2"/>
        <v>2.2573163307023147E-2</v>
      </c>
      <c r="C71" s="73">
        <f t="shared" si="3"/>
        <v>0.77286530702188727</v>
      </c>
    </row>
    <row r="72" spans="1:3">
      <c r="A72">
        <v>56</v>
      </c>
      <c r="B72" s="73">
        <f t="shared" si="2"/>
        <v>2.1162340600334201E-2</v>
      </c>
      <c r="C72" s="73">
        <f t="shared" si="3"/>
        <v>0.79402764762222144</v>
      </c>
    </row>
    <row r="73" spans="1:3">
      <c r="A73">
        <v>57</v>
      </c>
      <c r="B73" s="73">
        <f t="shared" si="2"/>
        <v>1.9751517893645255E-2</v>
      </c>
      <c r="C73" s="73">
        <f t="shared" si="3"/>
        <v>0.81377916551586671</v>
      </c>
    </row>
    <row r="74" spans="1:3">
      <c r="A74">
        <v>58</v>
      </c>
      <c r="B74" s="73">
        <f t="shared" si="2"/>
        <v>1.8355289904611723E-2</v>
      </c>
      <c r="C74" s="73">
        <f t="shared" si="3"/>
        <v>0.83213445542047848</v>
      </c>
    </row>
    <row r="75" spans="1:3">
      <c r="A75">
        <v>59</v>
      </c>
      <c r="B75" s="73">
        <f t="shared" si="2"/>
        <v>1.6986420826979667E-2</v>
      </c>
      <c r="C75" s="73">
        <f t="shared" si="3"/>
        <v>0.84912087624745813</v>
      </c>
    </row>
    <row r="76" spans="1:3">
      <c r="A76">
        <v>60</v>
      </c>
      <c r="B76" s="73">
        <f t="shared" si="2"/>
        <v>1.5655817862199571E-2</v>
      </c>
      <c r="C76" s="73">
        <f t="shared" si="3"/>
        <v>0.86477669410965774</v>
      </c>
    </row>
    <row r="77" spans="1:3">
      <c r="A77">
        <v>61</v>
      </c>
      <c r="B77" s="73">
        <f t="shared" si="2"/>
        <v>1.4372554103002892E-2</v>
      </c>
      <c r="C77" s="73">
        <f t="shared" si="3"/>
        <v>0.87914924821266061</v>
      </c>
    </row>
    <row r="78" spans="1:3">
      <c r="A78">
        <v>62</v>
      </c>
      <c r="B78" s="73">
        <f t="shared" si="2"/>
        <v>1.3143932542584898E-2</v>
      </c>
      <c r="C78" s="73">
        <f t="shared" si="3"/>
        <v>0.89229318075524555</v>
      </c>
    </row>
    <row r="79" spans="1:3">
      <c r="A79">
        <v>63</v>
      </c>
      <c r="B79" s="73">
        <f t="shared" si="2"/>
        <v>1.197558298324403E-2</v>
      </c>
      <c r="C79" s="73">
        <f t="shared" si="3"/>
        <v>0.90426876373848963</v>
      </c>
    </row>
    <row r="80" spans="1:3">
      <c r="A80">
        <v>64</v>
      </c>
      <c r="B80" s="73">
        <f t="shared" ref="B80:B111" si="4">_xlfn.NEGBINOM.DIST($C$6+A80,$C$7,$C$8, FALSE)</f>
        <v>1.0871583926976222E-2</v>
      </c>
      <c r="C80" s="73">
        <f t="shared" ref="C80:C111" si="5">C79+B80</f>
        <v>0.91514034766546581</v>
      </c>
    </row>
    <row r="81" spans="1:3">
      <c r="A81">
        <v>65</v>
      </c>
      <c r="B81" s="73">
        <f t="shared" si="4"/>
        <v>9.8346020754800281E-3</v>
      </c>
      <c r="C81" s="73">
        <f t="shared" si="5"/>
        <v>0.92497494974094585</v>
      </c>
    </row>
    <row r="82" spans="1:3">
      <c r="A82">
        <v>66</v>
      </c>
      <c r="B82" s="73">
        <f t="shared" si="4"/>
        <v>8.8660427801675896E-3</v>
      </c>
      <c r="C82" s="73">
        <f t="shared" si="5"/>
        <v>0.93384099252111341</v>
      </c>
    </row>
    <row r="83" spans="1:3">
      <c r="A83">
        <v>67</v>
      </c>
      <c r="B83" s="73">
        <f t="shared" si="4"/>
        <v>7.9662056024789336E-3</v>
      </c>
      <c r="C83" s="73">
        <f t="shared" si="5"/>
        <v>0.94180719812359237</v>
      </c>
    </row>
    <row r="84" spans="1:3">
      <c r="A84">
        <v>68</v>
      </c>
      <c r="B84" s="73">
        <f t="shared" si="4"/>
        <v>7.1344400175142406E-3</v>
      </c>
      <c r="C84" s="73">
        <f t="shared" si="5"/>
        <v>0.94894163814110666</v>
      </c>
    </row>
    <row r="85" spans="1:3">
      <c r="A85">
        <v>69</v>
      </c>
      <c r="B85" s="73">
        <f t="shared" si="4"/>
        <v>6.3692971750561713E-3</v>
      </c>
      <c r="C85" s="73">
        <f t="shared" si="5"/>
        <v>0.95531093531616285</v>
      </c>
    </row>
    <row r="86" spans="1:3">
      <c r="A86">
        <v>70</v>
      </c>
      <c r="B86" s="73">
        <f t="shared" si="4"/>
        <v>5.6686744858000107E-3</v>
      </c>
      <c r="C86" s="73">
        <f t="shared" si="5"/>
        <v>0.96097960980196284</v>
      </c>
    </row>
    <row r="87" spans="1:3">
      <c r="A87">
        <v>71</v>
      </c>
      <c r="B87" s="73">
        <f t="shared" si="4"/>
        <v>5.0299506000760566E-3</v>
      </c>
      <c r="C87" s="73">
        <f t="shared" si="5"/>
        <v>0.96600956040203889</v>
      </c>
    </row>
    <row r="88" spans="1:3">
      <c r="A88">
        <v>72</v>
      </c>
      <c r="B88" s="73">
        <f t="shared" si="4"/>
        <v>4.4501090725672862E-3</v>
      </c>
      <c r="C88" s="73">
        <f t="shared" si="5"/>
        <v>0.97045966947460616</v>
      </c>
    </row>
    <row r="89" spans="1:3">
      <c r="A89">
        <v>73</v>
      </c>
      <c r="B89" s="73">
        <f t="shared" si="4"/>
        <v>3.925849647579905E-3</v>
      </c>
      <c r="C89" s="73">
        <f t="shared" si="5"/>
        <v>0.97438551912218607</v>
      </c>
    </row>
    <row r="90" spans="1:3">
      <c r="A90">
        <v>74</v>
      </c>
      <c r="B90" s="73">
        <f t="shared" si="4"/>
        <v>3.453686649425029E-3</v>
      </c>
      <c r="C90" s="73">
        <f t="shared" si="5"/>
        <v>0.9778392057716111</v>
      </c>
    </row>
    <row r="91" spans="1:3">
      <c r="A91">
        <v>75</v>
      </c>
      <c r="B91" s="73">
        <f t="shared" si="4"/>
        <v>3.0300344204288957E-3</v>
      </c>
      <c r="C91" s="73">
        <f t="shared" si="5"/>
        <v>0.98086924019204003</v>
      </c>
    </row>
    <row r="92" spans="1:3">
      <c r="A92">
        <v>76</v>
      </c>
      <c r="B92" s="73">
        <f t="shared" si="4"/>
        <v>2.6512801178752788E-3</v>
      </c>
      <c r="C92" s="73">
        <f t="shared" si="5"/>
        <v>0.98352052030991532</v>
      </c>
    </row>
    <row r="93" spans="1:3">
      <c r="A93">
        <v>77</v>
      </c>
      <c r="B93" s="73">
        <f t="shared" si="4"/>
        <v>2.3138444665093305E-3</v>
      </c>
      <c r="C93" s="73">
        <f t="shared" si="5"/>
        <v>0.98583436477642461</v>
      </c>
    </row>
    <row r="94" spans="1:3">
      <c r="A94">
        <v>78</v>
      </c>
      <c r="B94" s="73">
        <f t="shared" si="4"/>
        <v>2.0142312727690248E-3</v>
      </c>
      <c r="C94" s="73">
        <f t="shared" si="5"/>
        <v>0.98784859604919362</v>
      </c>
    </row>
    <row r="95" spans="1:3">
      <c r="A95">
        <v>79</v>
      </c>
      <c r="B95" s="73">
        <f t="shared" si="4"/>
        <v>1.7490666495184196E-3</v>
      </c>
      <c r="C95" s="73">
        <f t="shared" si="5"/>
        <v>0.98959766269871208</v>
      </c>
    </row>
    <row r="96" spans="1:3">
      <c r="A96">
        <v>80</v>
      </c>
      <c r="B96" s="73">
        <f t="shared" si="4"/>
        <v>1.5151289851453322E-3</v>
      </c>
      <c r="C96" s="73">
        <f t="shared" si="5"/>
        <v>0.99111279168385746</v>
      </c>
    </row>
    <row r="97" spans="1:3">
      <c r="A97">
        <v>81</v>
      </c>
      <c r="B97" s="73">
        <f t="shared" si="4"/>
        <v>1.3093707279033758E-3</v>
      </c>
      <c r="C97" s="73">
        <f t="shared" si="5"/>
        <v>0.99242216241176084</v>
      </c>
    </row>
    <row r="98" spans="1:3">
      <c r="A98">
        <v>82</v>
      </c>
      <c r="B98" s="73">
        <f t="shared" si="4"/>
        <v>1.1289330544240034E-3</v>
      </c>
      <c r="C98" s="73">
        <f t="shared" si="5"/>
        <v>0.99355109546618481</v>
      </c>
    </row>
    <row r="99" spans="1:3">
      <c r="A99">
        <v>83</v>
      </c>
      <c r="B99" s="73">
        <f t="shared" si="4"/>
        <v>9.7115445886595251E-4</v>
      </c>
      <c r="C99" s="73">
        <f t="shared" si="5"/>
        <v>0.99452224992505078</v>
      </c>
    </row>
    <row r="100" spans="1:3">
      <c r="A100">
        <v>84</v>
      </c>
      <c r="B100" s="73">
        <f t="shared" si="4"/>
        <v>8.335742438599405E-4</v>
      </c>
      <c r="C100" s="73">
        <f t="shared" si="5"/>
        <v>0.99535582416891077</v>
      </c>
    </row>
    <row r="101" spans="1:3">
      <c r="A101">
        <v>85</v>
      </c>
      <c r="B101" s="73">
        <f t="shared" si="4"/>
        <v>7.1393182297651279E-4</v>
      </c>
      <c r="C101" s="73">
        <f t="shared" si="5"/>
        <v>0.9960697559918873</v>
      </c>
    </row>
    <row r="102" spans="1:3">
      <c r="A102">
        <v>86</v>
      </c>
      <c r="B102" s="73">
        <f t="shared" si="4"/>
        <v>6.1016266266016158E-4</v>
      </c>
      <c r="C102" s="73">
        <f t="shared" si="5"/>
        <v>0.99667991865454741</v>
      </c>
    </row>
    <row r="103" spans="1:3">
      <c r="A103">
        <v>87</v>
      </c>
      <c r="B103" s="73">
        <f t="shared" si="4"/>
        <v>5.2039160424579092E-4</v>
      </c>
      <c r="C103" s="73">
        <f t="shared" si="5"/>
        <v>0.99720031025879319</v>
      </c>
    </row>
    <row r="104" spans="1:3">
      <c r="A104">
        <v>88</v>
      </c>
      <c r="B104" s="73">
        <f t="shared" si="4"/>
        <v>4.4292421770465652E-4</v>
      </c>
      <c r="C104" s="73">
        <f t="shared" si="5"/>
        <v>0.99764323447649783</v>
      </c>
    </row>
    <row r="105" spans="1:3">
      <c r="A105">
        <v>89</v>
      </c>
      <c r="B105" s="73">
        <f t="shared" si="4"/>
        <v>3.762367512187883E-4</v>
      </c>
      <c r="C105" s="73">
        <f t="shared" si="5"/>
        <v>0.99801947122771661</v>
      </c>
    </row>
    <row r="106" spans="1:3">
      <c r="A106">
        <v>90</v>
      </c>
      <c r="B106" s="73">
        <f t="shared" si="4"/>
        <v>3.1896515686659479E-4</v>
      </c>
      <c r="C106" s="73">
        <f t="shared" si="5"/>
        <v>0.99833843638458319</v>
      </c>
    </row>
    <row r="107" spans="1:3">
      <c r="A107">
        <v>91</v>
      </c>
      <c r="B107" s="73">
        <f t="shared" si="4"/>
        <v>2.6989359427173366E-4</v>
      </c>
      <c r="C107" s="73">
        <f t="shared" si="5"/>
        <v>0.99860832997885496</v>
      </c>
    </row>
    <row r="108" spans="1:3">
      <c r="A108">
        <v>92</v>
      </c>
      <c r="B108" s="73">
        <f t="shared" si="4"/>
        <v>2.2794274211862712E-4</v>
      </c>
      <c r="C108" s="73">
        <f t="shared" si="5"/>
        <v>0.99883627272097364</v>
      </c>
    </row>
    <row r="109" spans="1:3">
      <c r="A109">
        <v>93</v>
      </c>
      <c r="B109" s="73">
        <f t="shared" si="4"/>
        <v>1.9215818260322906E-4</v>
      </c>
      <c r="C109" s="73">
        <f t="shared" si="5"/>
        <v>0.99902843090357685</v>
      </c>
    </row>
    <row r="110" spans="1:3">
      <c r="A110">
        <v>94</v>
      </c>
      <c r="B110" s="73">
        <f t="shared" si="4"/>
        <v>1.6169906642463284E-4</v>
      </c>
      <c r="C110" s="73">
        <f t="shared" si="5"/>
        <v>0.99919012997000145</v>
      </c>
    </row>
    <row r="111" spans="1:3">
      <c r="A111">
        <v>95</v>
      </c>
      <c r="B111" s="73">
        <f t="shared" si="4"/>
        <v>1.3582721579669202E-4</v>
      </c>
      <c r="C111" s="73">
        <f t="shared" si="5"/>
        <v>0.9993259571857982</v>
      </c>
    </row>
    <row r="112" spans="1:3">
      <c r="A112">
        <v>96</v>
      </c>
      <c r="B112" s="73">
        <f t="shared" ref="B112:B116" si="6">_xlfn.NEGBINOM.DIST($C$6+A112,$C$7,$C$8, FALSE)</f>
        <v>1.1389677991285097E-4</v>
      </c>
      <c r="C112" s="73">
        <f t="shared" ref="C112:C116" si="7">C111+B112</f>
        <v>0.999439853965711</v>
      </c>
    </row>
    <row r="113" spans="1:3">
      <c r="A113">
        <v>97</v>
      </c>
      <c r="B113" s="73">
        <f t="shared" si="6"/>
        <v>9.5344520916736762E-5</v>
      </c>
      <c r="C113" s="73">
        <f t="shared" si="7"/>
        <v>0.99953519848662775</v>
      </c>
    </row>
    <row r="114" spans="1:3">
      <c r="A114">
        <v>98</v>
      </c>
      <c r="B114" s="73">
        <f t="shared" si="6"/>
        <v>7.96807781947016E-5</v>
      </c>
      <c r="C114" s="73">
        <f t="shared" si="7"/>
        <v>0.9996148792648224</v>
      </c>
    </row>
    <row r="115" spans="1:3">
      <c r="A115">
        <v>99</v>
      </c>
      <c r="B115" s="73">
        <f t="shared" si="6"/>
        <v>6.6481134130124734E-5</v>
      </c>
      <c r="C115" s="73">
        <f t="shared" si="7"/>
        <v>0.9996813603989525</v>
      </c>
    </row>
    <row r="116" spans="1:3">
      <c r="A116">
        <v>100</v>
      </c>
      <c r="B116" s="73">
        <f t="shared" si="6"/>
        <v>5.5378784730393755E-5</v>
      </c>
      <c r="C116" s="73">
        <f t="shared" si="7"/>
        <v>0.99973673918368289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7AC1-27F5-43B5-931C-6754E29D2B19}">
  <sheetPr codeName="Sheet11"/>
  <dimension ref="A1:E117"/>
  <sheetViews>
    <sheetView zoomScale="106" zoomScaleNormal="106" workbookViewId="0">
      <selection activeCell="A2" sqref="A2"/>
    </sheetView>
  </sheetViews>
  <sheetFormatPr defaultRowHeight="18.75"/>
  <cols>
    <col min="1" max="1" width="11" bestFit="1" customWidth="1"/>
    <col min="2" max="2" width="15.125" bestFit="1" customWidth="1"/>
    <col min="3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93</v>
      </c>
      <c r="C2" s="74" t="s">
        <v>98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100</v>
      </c>
      <c r="C6" s="79">
        <v>0</v>
      </c>
      <c r="D6" t="s">
        <v>76</v>
      </c>
      <c r="E6" s="87" t="s">
        <v>97</v>
      </c>
    </row>
    <row r="7" spans="1:5">
      <c r="B7" t="s">
        <v>56</v>
      </c>
      <c r="C7" s="80">
        <v>20</v>
      </c>
      <c r="E7" s="77" t="s">
        <v>96</v>
      </c>
    </row>
    <row r="8" spans="1:5">
      <c r="C8" s="80"/>
      <c r="E8" s="78" t="s">
        <v>99</v>
      </c>
    </row>
    <row r="9" spans="1:5" ht="19.5" thickBot="1">
      <c r="C9" s="81"/>
      <c r="E9" s="75"/>
    </row>
    <row r="10" spans="1:5" ht="19.5" thickBot="1">
      <c r="E10" s="75"/>
    </row>
    <row r="11" spans="1:5">
      <c r="B11" s="82" t="s">
        <v>65</v>
      </c>
      <c r="C11" s="83">
        <f>(C7+1)/2</f>
        <v>10.5</v>
      </c>
      <c r="D11" t="s">
        <v>101</v>
      </c>
      <c r="E11" s="75"/>
    </row>
    <row r="12" spans="1:5" ht="19.5" thickBot="1">
      <c r="B12" s="84" t="s">
        <v>69</v>
      </c>
      <c r="C12" s="85">
        <f>(C7^2-1)/12</f>
        <v>33.25</v>
      </c>
      <c r="D12" t="s">
        <v>102</v>
      </c>
    </row>
    <row r="13" spans="1:5">
      <c r="B13" s="67"/>
      <c r="C13" s="67"/>
    </row>
    <row r="14" spans="1:5">
      <c r="A14" t="s">
        <v>91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>IF(A16&lt;=$C$7,(($C$6+A16)/$C$7),0)</f>
        <v>0</v>
      </c>
      <c r="C16" s="73">
        <f t="shared" ref="C16:C79" si="0">C15+B16</f>
        <v>0</v>
      </c>
    </row>
    <row r="17" spans="1:3">
      <c r="A17">
        <v>1</v>
      </c>
      <c r="B17" s="73">
        <f t="shared" ref="B17:B48" si="1">IF(A17&lt;=$C$7,(1/$C$7),0)</f>
        <v>0.05</v>
      </c>
      <c r="C17" s="73">
        <f t="shared" si="0"/>
        <v>0.05</v>
      </c>
    </row>
    <row r="18" spans="1:3">
      <c r="A18">
        <v>2</v>
      </c>
      <c r="B18" s="73">
        <f t="shared" si="1"/>
        <v>0.05</v>
      </c>
      <c r="C18" s="73">
        <f t="shared" si="0"/>
        <v>0.1</v>
      </c>
    </row>
    <row r="19" spans="1:3">
      <c r="A19">
        <v>3</v>
      </c>
      <c r="B19" s="73">
        <f t="shared" si="1"/>
        <v>0.05</v>
      </c>
      <c r="C19" s="73">
        <f t="shared" si="0"/>
        <v>0.15000000000000002</v>
      </c>
    </row>
    <row r="20" spans="1:3">
      <c r="A20">
        <v>4</v>
      </c>
      <c r="B20" s="73">
        <f t="shared" si="1"/>
        <v>0.05</v>
      </c>
      <c r="C20" s="73">
        <f t="shared" si="0"/>
        <v>0.2</v>
      </c>
    </row>
    <row r="21" spans="1:3">
      <c r="A21">
        <v>5</v>
      </c>
      <c r="B21" s="73">
        <f t="shared" si="1"/>
        <v>0.05</v>
      </c>
      <c r="C21" s="73">
        <f t="shared" si="0"/>
        <v>0.25</v>
      </c>
    </row>
    <row r="22" spans="1:3">
      <c r="A22">
        <v>6</v>
      </c>
      <c r="B22" s="73">
        <f t="shared" si="1"/>
        <v>0.05</v>
      </c>
      <c r="C22" s="73">
        <f t="shared" si="0"/>
        <v>0.3</v>
      </c>
    </row>
    <row r="23" spans="1:3">
      <c r="A23">
        <v>7</v>
      </c>
      <c r="B23" s="73">
        <f t="shared" si="1"/>
        <v>0.05</v>
      </c>
      <c r="C23" s="73">
        <f t="shared" si="0"/>
        <v>0.35</v>
      </c>
    </row>
    <row r="24" spans="1:3">
      <c r="A24">
        <v>8</v>
      </c>
      <c r="B24" s="73">
        <f t="shared" si="1"/>
        <v>0.05</v>
      </c>
      <c r="C24" s="73">
        <f t="shared" si="0"/>
        <v>0.39999999999999997</v>
      </c>
    </row>
    <row r="25" spans="1:3">
      <c r="A25">
        <v>9</v>
      </c>
      <c r="B25" s="73">
        <f t="shared" si="1"/>
        <v>0.05</v>
      </c>
      <c r="C25" s="73">
        <f t="shared" si="0"/>
        <v>0.44999999999999996</v>
      </c>
    </row>
    <row r="26" spans="1:3">
      <c r="A26">
        <v>10</v>
      </c>
      <c r="B26" s="73">
        <f t="shared" si="1"/>
        <v>0.05</v>
      </c>
      <c r="C26" s="73">
        <f t="shared" si="0"/>
        <v>0.49999999999999994</v>
      </c>
    </row>
    <row r="27" spans="1:3">
      <c r="A27">
        <v>11</v>
      </c>
      <c r="B27" s="73">
        <f t="shared" si="1"/>
        <v>0.05</v>
      </c>
      <c r="C27" s="73">
        <f t="shared" si="0"/>
        <v>0.54999999999999993</v>
      </c>
    </row>
    <row r="28" spans="1:3">
      <c r="A28">
        <v>12</v>
      </c>
      <c r="B28" s="73">
        <f t="shared" si="1"/>
        <v>0.05</v>
      </c>
      <c r="C28" s="73">
        <f t="shared" si="0"/>
        <v>0.6</v>
      </c>
    </row>
    <row r="29" spans="1:3">
      <c r="A29">
        <v>13</v>
      </c>
      <c r="B29" s="73">
        <f t="shared" si="1"/>
        <v>0.05</v>
      </c>
      <c r="C29" s="73">
        <f t="shared" si="0"/>
        <v>0.65</v>
      </c>
    </row>
    <row r="30" spans="1:3">
      <c r="A30">
        <v>14</v>
      </c>
      <c r="B30" s="73">
        <f t="shared" si="1"/>
        <v>0.05</v>
      </c>
      <c r="C30" s="73">
        <f t="shared" si="0"/>
        <v>0.70000000000000007</v>
      </c>
    </row>
    <row r="31" spans="1:3">
      <c r="A31">
        <v>15</v>
      </c>
      <c r="B31" s="73">
        <f t="shared" si="1"/>
        <v>0.05</v>
      </c>
      <c r="C31" s="73">
        <f t="shared" si="0"/>
        <v>0.75000000000000011</v>
      </c>
    </row>
    <row r="32" spans="1:3">
      <c r="A32">
        <v>16</v>
      </c>
      <c r="B32" s="73">
        <f t="shared" si="1"/>
        <v>0.05</v>
      </c>
      <c r="C32" s="73">
        <f t="shared" si="0"/>
        <v>0.80000000000000016</v>
      </c>
    </row>
    <row r="33" spans="1:3">
      <c r="A33">
        <v>17</v>
      </c>
      <c r="B33" s="73">
        <f t="shared" si="1"/>
        <v>0.05</v>
      </c>
      <c r="C33" s="73">
        <f t="shared" si="0"/>
        <v>0.8500000000000002</v>
      </c>
    </row>
    <row r="34" spans="1:3">
      <c r="A34">
        <v>18</v>
      </c>
      <c r="B34" s="73">
        <f t="shared" si="1"/>
        <v>0.05</v>
      </c>
      <c r="C34" s="73">
        <f t="shared" si="0"/>
        <v>0.90000000000000024</v>
      </c>
    </row>
    <row r="35" spans="1:3">
      <c r="A35">
        <v>19</v>
      </c>
      <c r="B35" s="73">
        <f t="shared" si="1"/>
        <v>0.05</v>
      </c>
      <c r="C35" s="73">
        <f t="shared" si="0"/>
        <v>0.95000000000000029</v>
      </c>
    </row>
    <row r="36" spans="1:3">
      <c r="A36">
        <v>20</v>
      </c>
      <c r="B36" s="73">
        <f t="shared" si="1"/>
        <v>0.05</v>
      </c>
      <c r="C36" s="73">
        <f t="shared" si="0"/>
        <v>1.0000000000000002</v>
      </c>
    </row>
    <row r="37" spans="1:3">
      <c r="A37">
        <v>21</v>
      </c>
      <c r="B37" s="73">
        <f t="shared" si="1"/>
        <v>0</v>
      </c>
      <c r="C37" s="73">
        <f t="shared" si="0"/>
        <v>1.0000000000000002</v>
      </c>
    </row>
    <row r="38" spans="1:3">
      <c r="A38">
        <v>22</v>
      </c>
      <c r="B38" s="73">
        <f t="shared" si="1"/>
        <v>0</v>
      </c>
      <c r="C38" s="73">
        <f t="shared" si="0"/>
        <v>1.0000000000000002</v>
      </c>
    </row>
    <row r="39" spans="1:3">
      <c r="A39">
        <v>23</v>
      </c>
      <c r="B39" s="73">
        <f t="shared" si="1"/>
        <v>0</v>
      </c>
      <c r="C39" s="73">
        <f t="shared" si="0"/>
        <v>1.0000000000000002</v>
      </c>
    </row>
    <row r="40" spans="1:3">
      <c r="A40">
        <v>24</v>
      </c>
      <c r="B40" s="73">
        <f t="shared" si="1"/>
        <v>0</v>
      </c>
      <c r="C40" s="73">
        <f t="shared" si="0"/>
        <v>1.0000000000000002</v>
      </c>
    </row>
    <row r="41" spans="1:3">
      <c r="A41">
        <v>25</v>
      </c>
      <c r="B41" s="73">
        <f t="shared" si="1"/>
        <v>0</v>
      </c>
      <c r="C41" s="73">
        <f t="shared" si="0"/>
        <v>1.0000000000000002</v>
      </c>
    </row>
    <row r="42" spans="1:3">
      <c r="A42">
        <v>26</v>
      </c>
      <c r="B42" s="73">
        <f t="shared" si="1"/>
        <v>0</v>
      </c>
      <c r="C42" s="73">
        <f t="shared" si="0"/>
        <v>1.0000000000000002</v>
      </c>
    </row>
    <row r="43" spans="1:3">
      <c r="A43">
        <v>27</v>
      </c>
      <c r="B43" s="73">
        <f t="shared" si="1"/>
        <v>0</v>
      </c>
      <c r="C43" s="73">
        <f t="shared" si="0"/>
        <v>1.0000000000000002</v>
      </c>
    </row>
    <row r="44" spans="1:3">
      <c r="A44">
        <v>28</v>
      </c>
      <c r="B44" s="73">
        <f t="shared" si="1"/>
        <v>0</v>
      </c>
      <c r="C44" s="73">
        <f t="shared" si="0"/>
        <v>1.0000000000000002</v>
      </c>
    </row>
    <row r="45" spans="1:3">
      <c r="A45">
        <v>29</v>
      </c>
      <c r="B45" s="73">
        <f t="shared" si="1"/>
        <v>0</v>
      </c>
      <c r="C45" s="73">
        <f t="shared" si="0"/>
        <v>1.0000000000000002</v>
      </c>
    </row>
    <row r="46" spans="1:3">
      <c r="A46">
        <v>30</v>
      </c>
      <c r="B46" s="73">
        <f t="shared" si="1"/>
        <v>0</v>
      </c>
      <c r="C46" s="73">
        <f t="shared" si="0"/>
        <v>1.0000000000000002</v>
      </c>
    </row>
    <row r="47" spans="1:3">
      <c r="A47">
        <v>31</v>
      </c>
      <c r="B47" s="73">
        <f t="shared" si="1"/>
        <v>0</v>
      </c>
      <c r="C47" s="73">
        <f t="shared" si="0"/>
        <v>1.0000000000000002</v>
      </c>
    </row>
    <row r="48" spans="1:3">
      <c r="A48">
        <v>32</v>
      </c>
      <c r="B48" s="73">
        <f t="shared" si="1"/>
        <v>0</v>
      </c>
      <c r="C48" s="73">
        <f t="shared" si="0"/>
        <v>1.0000000000000002</v>
      </c>
    </row>
    <row r="49" spans="1:3">
      <c r="A49">
        <v>33</v>
      </c>
      <c r="B49" s="73">
        <f t="shared" ref="B49:B80" si="2">IF(A49&lt;=$C$7,(1/$C$7),0)</f>
        <v>0</v>
      </c>
      <c r="C49" s="73">
        <f t="shared" si="0"/>
        <v>1.0000000000000002</v>
      </c>
    </row>
    <row r="50" spans="1:3">
      <c r="A50">
        <v>34</v>
      </c>
      <c r="B50" s="73">
        <f t="shared" si="2"/>
        <v>0</v>
      </c>
      <c r="C50" s="73">
        <f t="shared" si="0"/>
        <v>1.0000000000000002</v>
      </c>
    </row>
    <row r="51" spans="1:3">
      <c r="A51">
        <v>35</v>
      </c>
      <c r="B51" s="73">
        <f t="shared" si="2"/>
        <v>0</v>
      </c>
      <c r="C51" s="73">
        <f t="shared" si="0"/>
        <v>1.0000000000000002</v>
      </c>
    </row>
    <row r="52" spans="1:3">
      <c r="A52">
        <v>36</v>
      </c>
      <c r="B52" s="73">
        <f t="shared" si="2"/>
        <v>0</v>
      </c>
      <c r="C52" s="73">
        <f t="shared" si="0"/>
        <v>1.0000000000000002</v>
      </c>
    </row>
    <row r="53" spans="1:3">
      <c r="A53">
        <v>37</v>
      </c>
      <c r="B53" s="73">
        <f t="shared" si="2"/>
        <v>0</v>
      </c>
      <c r="C53" s="73">
        <f t="shared" si="0"/>
        <v>1.0000000000000002</v>
      </c>
    </row>
    <row r="54" spans="1:3">
      <c r="A54">
        <v>38</v>
      </c>
      <c r="B54" s="73">
        <f t="shared" si="2"/>
        <v>0</v>
      </c>
      <c r="C54" s="73">
        <f t="shared" si="0"/>
        <v>1.0000000000000002</v>
      </c>
    </row>
    <row r="55" spans="1:3">
      <c r="A55">
        <v>39</v>
      </c>
      <c r="B55" s="73">
        <f t="shared" si="2"/>
        <v>0</v>
      </c>
      <c r="C55" s="73">
        <f t="shared" si="0"/>
        <v>1.0000000000000002</v>
      </c>
    </row>
    <row r="56" spans="1:3">
      <c r="A56">
        <v>40</v>
      </c>
      <c r="B56" s="73">
        <f t="shared" si="2"/>
        <v>0</v>
      </c>
      <c r="C56" s="73">
        <f t="shared" si="0"/>
        <v>1.0000000000000002</v>
      </c>
    </row>
    <row r="57" spans="1:3">
      <c r="A57">
        <v>41</v>
      </c>
      <c r="B57" s="73">
        <f t="shared" si="2"/>
        <v>0</v>
      </c>
      <c r="C57" s="73">
        <f t="shared" si="0"/>
        <v>1.0000000000000002</v>
      </c>
    </row>
    <row r="58" spans="1:3">
      <c r="A58">
        <v>42</v>
      </c>
      <c r="B58" s="73">
        <f t="shared" si="2"/>
        <v>0</v>
      </c>
      <c r="C58" s="73">
        <f t="shared" si="0"/>
        <v>1.0000000000000002</v>
      </c>
    </row>
    <row r="59" spans="1:3">
      <c r="A59">
        <v>43</v>
      </c>
      <c r="B59" s="73">
        <f t="shared" si="2"/>
        <v>0</v>
      </c>
      <c r="C59" s="73">
        <f t="shared" si="0"/>
        <v>1.0000000000000002</v>
      </c>
    </row>
    <row r="60" spans="1:3">
      <c r="A60">
        <v>44</v>
      </c>
      <c r="B60" s="73">
        <f t="shared" si="2"/>
        <v>0</v>
      </c>
      <c r="C60" s="73">
        <f t="shared" si="0"/>
        <v>1.0000000000000002</v>
      </c>
    </row>
    <row r="61" spans="1:3">
      <c r="A61">
        <v>45</v>
      </c>
      <c r="B61" s="73">
        <f t="shared" si="2"/>
        <v>0</v>
      </c>
      <c r="C61" s="73">
        <f t="shared" si="0"/>
        <v>1.0000000000000002</v>
      </c>
    </row>
    <row r="62" spans="1:3">
      <c r="A62">
        <v>46</v>
      </c>
      <c r="B62" s="73">
        <f t="shared" si="2"/>
        <v>0</v>
      </c>
      <c r="C62" s="73">
        <f t="shared" si="0"/>
        <v>1.0000000000000002</v>
      </c>
    </row>
    <row r="63" spans="1:3">
      <c r="A63">
        <v>47</v>
      </c>
      <c r="B63" s="73">
        <f t="shared" si="2"/>
        <v>0</v>
      </c>
      <c r="C63" s="73">
        <f t="shared" si="0"/>
        <v>1.0000000000000002</v>
      </c>
    </row>
    <row r="64" spans="1:3">
      <c r="A64">
        <v>48</v>
      </c>
      <c r="B64" s="73">
        <f t="shared" si="2"/>
        <v>0</v>
      </c>
      <c r="C64" s="73">
        <f t="shared" si="0"/>
        <v>1.0000000000000002</v>
      </c>
    </row>
    <row r="65" spans="1:3">
      <c r="A65">
        <v>49</v>
      </c>
      <c r="B65" s="73">
        <f t="shared" si="2"/>
        <v>0</v>
      </c>
      <c r="C65" s="73">
        <f t="shared" si="0"/>
        <v>1.0000000000000002</v>
      </c>
    </row>
    <row r="66" spans="1:3">
      <c r="A66">
        <v>50</v>
      </c>
      <c r="B66" s="73">
        <f t="shared" si="2"/>
        <v>0</v>
      </c>
      <c r="C66" s="73">
        <f t="shared" si="0"/>
        <v>1.0000000000000002</v>
      </c>
    </row>
    <row r="67" spans="1:3">
      <c r="A67">
        <v>51</v>
      </c>
      <c r="B67" s="73">
        <f t="shared" si="2"/>
        <v>0</v>
      </c>
      <c r="C67" s="73">
        <f t="shared" si="0"/>
        <v>1.0000000000000002</v>
      </c>
    </row>
    <row r="68" spans="1:3">
      <c r="A68">
        <v>52</v>
      </c>
      <c r="B68" s="73">
        <f t="shared" si="2"/>
        <v>0</v>
      </c>
      <c r="C68" s="73">
        <f t="shared" si="0"/>
        <v>1.0000000000000002</v>
      </c>
    </row>
    <row r="69" spans="1:3">
      <c r="A69">
        <v>53</v>
      </c>
      <c r="B69" s="73">
        <f t="shared" si="2"/>
        <v>0</v>
      </c>
      <c r="C69" s="73">
        <f t="shared" si="0"/>
        <v>1.0000000000000002</v>
      </c>
    </row>
    <row r="70" spans="1:3">
      <c r="A70">
        <v>54</v>
      </c>
      <c r="B70" s="73">
        <f t="shared" si="2"/>
        <v>0</v>
      </c>
      <c r="C70" s="73">
        <f t="shared" si="0"/>
        <v>1.0000000000000002</v>
      </c>
    </row>
    <row r="71" spans="1:3">
      <c r="A71">
        <v>55</v>
      </c>
      <c r="B71" s="73">
        <f t="shared" si="2"/>
        <v>0</v>
      </c>
      <c r="C71" s="73">
        <f t="shared" si="0"/>
        <v>1.0000000000000002</v>
      </c>
    </row>
    <row r="72" spans="1:3">
      <c r="A72">
        <v>56</v>
      </c>
      <c r="B72" s="73">
        <f t="shared" si="2"/>
        <v>0</v>
      </c>
      <c r="C72" s="73">
        <f t="shared" si="0"/>
        <v>1.0000000000000002</v>
      </c>
    </row>
    <row r="73" spans="1:3">
      <c r="A73">
        <v>57</v>
      </c>
      <c r="B73" s="73">
        <f t="shared" si="2"/>
        <v>0</v>
      </c>
      <c r="C73" s="73">
        <f t="shared" si="0"/>
        <v>1.0000000000000002</v>
      </c>
    </row>
    <row r="74" spans="1:3">
      <c r="A74">
        <v>58</v>
      </c>
      <c r="B74" s="73">
        <f t="shared" si="2"/>
        <v>0</v>
      </c>
      <c r="C74" s="73">
        <f t="shared" si="0"/>
        <v>1.0000000000000002</v>
      </c>
    </row>
    <row r="75" spans="1:3">
      <c r="A75">
        <v>59</v>
      </c>
      <c r="B75" s="73">
        <f t="shared" si="2"/>
        <v>0</v>
      </c>
      <c r="C75" s="73">
        <f t="shared" si="0"/>
        <v>1.0000000000000002</v>
      </c>
    </row>
    <row r="76" spans="1:3">
      <c r="A76">
        <v>60</v>
      </c>
      <c r="B76" s="73">
        <f t="shared" si="2"/>
        <v>0</v>
      </c>
      <c r="C76" s="73">
        <f t="shared" si="0"/>
        <v>1.0000000000000002</v>
      </c>
    </row>
    <row r="77" spans="1:3">
      <c r="A77">
        <v>61</v>
      </c>
      <c r="B77" s="73">
        <f t="shared" si="2"/>
        <v>0</v>
      </c>
      <c r="C77" s="73">
        <f t="shared" si="0"/>
        <v>1.0000000000000002</v>
      </c>
    </row>
    <row r="78" spans="1:3">
      <c r="A78">
        <v>62</v>
      </c>
      <c r="B78" s="73">
        <f t="shared" si="2"/>
        <v>0</v>
      </c>
      <c r="C78" s="73">
        <f t="shared" si="0"/>
        <v>1.0000000000000002</v>
      </c>
    </row>
    <row r="79" spans="1:3">
      <c r="A79">
        <v>63</v>
      </c>
      <c r="B79" s="73">
        <f t="shared" si="2"/>
        <v>0</v>
      </c>
      <c r="C79" s="73">
        <f t="shared" si="0"/>
        <v>1.0000000000000002</v>
      </c>
    </row>
    <row r="80" spans="1:3">
      <c r="A80">
        <v>64</v>
      </c>
      <c r="B80" s="73">
        <f t="shared" si="2"/>
        <v>0</v>
      </c>
      <c r="C80" s="73">
        <f t="shared" ref="C80:C116" si="3">C79+B80</f>
        <v>1.0000000000000002</v>
      </c>
    </row>
    <row r="81" spans="1:3">
      <c r="A81">
        <v>65</v>
      </c>
      <c r="B81" s="73">
        <f t="shared" ref="B81:B112" si="4">IF(A81&lt;=$C$7,(1/$C$7),0)</f>
        <v>0</v>
      </c>
      <c r="C81" s="73">
        <f t="shared" si="3"/>
        <v>1.0000000000000002</v>
      </c>
    </row>
    <row r="82" spans="1:3">
      <c r="A82">
        <v>66</v>
      </c>
      <c r="B82" s="73">
        <f t="shared" si="4"/>
        <v>0</v>
      </c>
      <c r="C82" s="73">
        <f t="shared" si="3"/>
        <v>1.0000000000000002</v>
      </c>
    </row>
    <row r="83" spans="1:3">
      <c r="A83">
        <v>67</v>
      </c>
      <c r="B83" s="73">
        <f t="shared" si="4"/>
        <v>0</v>
      </c>
      <c r="C83" s="73">
        <f t="shared" si="3"/>
        <v>1.0000000000000002</v>
      </c>
    </row>
    <row r="84" spans="1:3">
      <c r="A84">
        <v>68</v>
      </c>
      <c r="B84" s="73">
        <f t="shared" si="4"/>
        <v>0</v>
      </c>
      <c r="C84" s="73">
        <f t="shared" si="3"/>
        <v>1.0000000000000002</v>
      </c>
    </row>
    <row r="85" spans="1:3">
      <c r="A85">
        <v>69</v>
      </c>
      <c r="B85" s="73">
        <f t="shared" si="4"/>
        <v>0</v>
      </c>
      <c r="C85" s="73">
        <f t="shared" si="3"/>
        <v>1.0000000000000002</v>
      </c>
    </row>
    <row r="86" spans="1:3">
      <c r="A86">
        <v>70</v>
      </c>
      <c r="B86" s="73">
        <f t="shared" si="4"/>
        <v>0</v>
      </c>
      <c r="C86" s="73">
        <f t="shared" si="3"/>
        <v>1.0000000000000002</v>
      </c>
    </row>
    <row r="87" spans="1:3">
      <c r="A87">
        <v>71</v>
      </c>
      <c r="B87" s="73">
        <f t="shared" si="4"/>
        <v>0</v>
      </c>
      <c r="C87" s="73">
        <f t="shared" si="3"/>
        <v>1.0000000000000002</v>
      </c>
    </row>
    <row r="88" spans="1:3">
      <c r="A88">
        <v>72</v>
      </c>
      <c r="B88" s="73">
        <f t="shared" si="4"/>
        <v>0</v>
      </c>
      <c r="C88" s="73">
        <f t="shared" si="3"/>
        <v>1.0000000000000002</v>
      </c>
    </row>
    <row r="89" spans="1:3">
      <c r="A89">
        <v>73</v>
      </c>
      <c r="B89" s="73">
        <f t="shared" si="4"/>
        <v>0</v>
      </c>
      <c r="C89" s="73">
        <f t="shared" si="3"/>
        <v>1.0000000000000002</v>
      </c>
    </row>
    <row r="90" spans="1:3">
      <c r="A90">
        <v>74</v>
      </c>
      <c r="B90" s="73">
        <f t="shared" si="4"/>
        <v>0</v>
      </c>
      <c r="C90" s="73">
        <f t="shared" si="3"/>
        <v>1.0000000000000002</v>
      </c>
    </row>
    <row r="91" spans="1:3">
      <c r="A91">
        <v>75</v>
      </c>
      <c r="B91" s="73">
        <f t="shared" si="4"/>
        <v>0</v>
      </c>
      <c r="C91" s="73">
        <f t="shared" si="3"/>
        <v>1.0000000000000002</v>
      </c>
    </row>
    <row r="92" spans="1:3">
      <c r="A92">
        <v>76</v>
      </c>
      <c r="B92" s="73">
        <f t="shared" si="4"/>
        <v>0</v>
      </c>
      <c r="C92" s="73">
        <f t="shared" si="3"/>
        <v>1.0000000000000002</v>
      </c>
    </row>
    <row r="93" spans="1:3">
      <c r="A93">
        <v>77</v>
      </c>
      <c r="B93" s="73">
        <f t="shared" si="4"/>
        <v>0</v>
      </c>
      <c r="C93" s="73">
        <f t="shared" si="3"/>
        <v>1.0000000000000002</v>
      </c>
    </row>
    <row r="94" spans="1:3">
      <c r="A94">
        <v>78</v>
      </c>
      <c r="B94" s="73">
        <f t="shared" si="4"/>
        <v>0</v>
      </c>
      <c r="C94" s="73">
        <f t="shared" si="3"/>
        <v>1.0000000000000002</v>
      </c>
    </row>
    <row r="95" spans="1:3">
      <c r="A95">
        <v>79</v>
      </c>
      <c r="B95" s="73">
        <f t="shared" si="4"/>
        <v>0</v>
      </c>
      <c r="C95" s="73">
        <f t="shared" si="3"/>
        <v>1.0000000000000002</v>
      </c>
    </row>
    <row r="96" spans="1:3">
      <c r="A96">
        <v>80</v>
      </c>
      <c r="B96" s="73">
        <f t="shared" si="4"/>
        <v>0</v>
      </c>
      <c r="C96" s="73">
        <f t="shared" si="3"/>
        <v>1.0000000000000002</v>
      </c>
    </row>
    <row r="97" spans="1:3">
      <c r="A97">
        <v>81</v>
      </c>
      <c r="B97" s="73">
        <f t="shared" si="4"/>
        <v>0</v>
      </c>
      <c r="C97" s="73">
        <f t="shared" si="3"/>
        <v>1.0000000000000002</v>
      </c>
    </row>
    <row r="98" spans="1:3">
      <c r="A98">
        <v>82</v>
      </c>
      <c r="B98" s="73">
        <f t="shared" si="4"/>
        <v>0</v>
      </c>
      <c r="C98" s="73">
        <f t="shared" si="3"/>
        <v>1.0000000000000002</v>
      </c>
    </row>
    <row r="99" spans="1:3">
      <c r="A99">
        <v>83</v>
      </c>
      <c r="B99" s="73">
        <f t="shared" si="4"/>
        <v>0</v>
      </c>
      <c r="C99" s="73">
        <f t="shared" si="3"/>
        <v>1.0000000000000002</v>
      </c>
    </row>
    <row r="100" spans="1:3">
      <c r="A100">
        <v>84</v>
      </c>
      <c r="B100" s="73">
        <f t="shared" si="4"/>
        <v>0</v>
      </c>
      <c r="C100" s="73">
        <f t="shared" si="3"/>
        <v>1.0000000000000002</v>
      </c>
    </row>
    <row r="101" spans="1:3">
      <c r="A101">
        <v>85</v>
      </c>
      <c r="B101" s="73">
        <f t="shared" si="4"/>
        <v>0</v>
      </c>
      <c r="C101" s="73">
        <f t="shared" si="3"/>
        <v>1.0000000000000002</v>
      </c>
    </row>
    <row r="102" spans="1:3">
      <c r="A102">
        <v>86</v>
      </c>
      <c r="B102" s="73">
        <f t="shared" si="4"/>
        <v>0</v>
      </c>
      <c r="C102" s="73">
        <f t="shared" si="3"/>
        <v>1.0000000000000002</v>
      </c>
    </row>
    <row r="103" spans="1:3">
      <c r="A103">
        <v>87</v>
      </c>
      <c r="B103" s="73">
        <f t="shared" si="4"/>
        <v>0</v>
      </c>
      <c r="C103" s="73">
        <f t="shared" si="3"/>
        <v>1.0000000000000002</v>
      </c>
    </row>
    <row r="104" spans="1:3">
      <c r="A104">
        <v>88</v>
      </c>
      <c r="B104" s="73">
        <f t="shared" si="4"/>
        <v>0</v>
      </c>
      <c r="C104" s="73">
        <f t="shared" si="3"/>
        <v>1.0000000000000002</v>
      </c>
    </row>
    <row r="105" spans="1:3">
      <c r="A105">
        <v>89</v>
      </c>
      <c r="B105" s="73">
        <f t="shared" si="4"/>
        <v>0</v>
      </c>
      <c r="C105" s="73">
        <f t="shared" si="3"/>
        <v>1.0000000000000002</v>
      </c>
    </row>
    <row r="106" spans="1:3">
      <c r="A106">
        <v>90</v>
      </c>
      <c r="B106" s="73">
        <f t="shared" si="4"/>
        <v>0</v>
      </c>
      <c r="C106" s="73">
        <f t="shared" si="3"/>
        <v>1.0000000000000002</v>
      </c>
    </row>
    <row r="107" spans="1:3">
      <c r="A107">
        <v>91</v>
      </c>
      <c r="B107" s="73">
        <f t="shared" si="4"/>
        <v>0</v>
      </c>
      <c r="C107" s="73">
        <f t="shared" si="3"/>
        <v>1.0000000000000002</v>
      </c>
    </row>
    <row r="108" spans="1:3">
      <c r="A108">
        <v>92</v>
      </c>
      <c r="B108" s="73">
        <f t="shared" si="4"/>
        <v>0</v>
      </c>
      <c r="C108" s="73">
        <f t="shared" si="3"/>
        <v>1.0000000000000002</v>
      </c>
    </row>
    <row r="109" spans="1:3">
      <c r="A109">
        <v>93</v>
      </c>
      <c r="B109" s="73">
        <f t="shared" si="4"/>
        <v>0</v>
      </c>
      <c r="C109" s="73">
        <f t="shared" si="3"/>
        <v>1.0000000000000002</v>
      </c>
    </row>
    <row r="110" spans="1:3">
      <c r="A110">
        <v>94</v>
      </c>
      <c r="B110" s="73">
        <f t="shared" si="4"/>
        <v>0</v>
      </c>
      <c r="C110" s="73">
        <f t="shared" si="3"/>
        <v>1.0000000000000002</v>
      </c>
    </row>
    <row r="111" spans="1:3">
      <c r="A111">
        <v>95</v>
      </c>
      <c r="B111" s="73">
        <f t="shared" si="4"/>
        <v>0</v>
      </c>
      <c r="C111" s="73">
        <f t="shared" si="3"/>
        <v>1.0000000000000002</v>
      </c>
    </row>
    <row r="112" spans="1:3">
      <c r="A112">
        <v>96</v>
      </c>
      <c r="B112" s="73">
        <f t="shared" si="4"/>
        <v>0</v>
      </c>
      <c r="C112" s="73">
        <f t="shared" si="3"/>
        <v>1.0000000000000002</v>
      </c>
    </row>
    <row r="113" spans="1:3">
      <c r="A113">
        <v>97</v>
      </c>
      <c r="B113" s="73">
        <f t="shared" ref="B113:B116" si="5">IF(A113&lt;=$C$7,(1/$C$7),0)</f>
        <v>0</v>
      </c>
      <c r="C113" s="73">
        <f t="shared" si="3"/>
        <v>1.0000000000000002</v>
      </c>
    </row>
    <row r="114" spans="1:3">
      <c r="A114">
        <v>98</v>
      </c>
      <c r="B114" s="73">
        <f t="shared" si="5"/>
        <v>0</v>
      </c>
      <c r="C114" s="73">
        <f t="shared" si="3"/>
        <v>1.0000000000000002</v>
      </c>
    </row>
    <row r="115" spans="1:3">
      <c r="A115">
        <v>99</v>
      </c>
      <c r="B115" s="73">
        <f t="shared" si="5"/>
        <v>0</v>
      </c>
      <c r="C115" s="73">
        <f t="shared" si="3"/>
        <v>1.0000000000000002</v>
      </c>
    </row>
    <row r="116" spans="1:3">
      <c r="A116">
        <v>100</v>
      </c>
      <c r="B116" s="73">
        <f t="shared" si="5"/>
        <v>0</v>
      </c>
      <c r="C116" s="73">
        <f t="shared" si="3"/>
        <v>1.0000000000000002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DB2F1-26E8-4546-87DE-DA1EAD86DAEC}">
  <sheetPr codeName="Sheet12"/>
  <dimension ref="A1:E117"/>
  <sheetViews>
    <sheetView zoomScale="106" zoomScaleNormal="106" workbookViewId="0">
      <selection activeCell="B19" sqref="B19"/>
    </sheetView>
  </sheetViews>
  <sheetFormatPr defaultRowHeight="18.75"/>
  <cols>
    <col min="1" max="1" width="11" bestFit="1" customWidth="1"/>
    <col min="2" max="2" width="15.125" bestFit="1" customWidth="1"/>
    <col min="3" max="3" width="16.125" bestFit="1" customWidth="1"/>
    <col min="5" max="5" width="29" bestFit="1" customWidth="1"/>
  </cols>
  <sheetData>
    <row r="1" spans="1:5">
      <c r="A1" t="s">
        <v>111</v>
      </c>
    </row>
    <row r="2" spans="1:5">
      <c r="A2" t="s">
        <v>93</v>
      </c>
      <c r="C2" s="74" t="s">
        <v>98</v>
      </c>
    </row>
    <row r="3" spans="1:5">
      <c r="C3" s="74"/>
    </row>
    <row r="4" spans="1:5">
      <c r="C4" s="74"/>
    </row>
    <row r="5" spans="1:5" ht="19.5" thickBot="1">
      <c r="A5" t="s">
        <v>60</v>
      </c>
      <c r="C5" t="s">
        <v>61</v>
      </c>
      <c r="E5" t="s">
        <v>59</v>
      </c>
    </row>
    <row r="6" spans="1:5">
      <c r="B6" t="s">
        <v>103</v>
      </c>
      <c r="C6" s="79">
        <v>0</v>
      </c>
      <c r="D6" t="s">
        <v>76</v>
      </c>
      <c r="E6" s="87" t="s">
        <v>106</v>
      </c>
    </row>
    <row r="7" spans="1:5">
      <c r="B7" t="s">
        <v>104</v>
      </c>
      <c r="C7" s="80">
        <v>50</v>
      </c>
      <c r="E7" s="77" t="s">
        <v>107</v>
      </c>
    </row>
    <row r="8" spans="1:5">
      <c r="B8" t="s">
        <v>105</v>
      </c>
      <c r="C8" s="80">
        <v>10</v>
      </c>
      <c r="E8" s="78" t="s">
        <v>108</v>
      </c>
    </row>
    <row r="9" spans="1:5" ht="19.5" thickBot="1">
      <c r="C9" s="81"/>
      <c r="E9" s="75"/>
    </row>
    <row r="10" spans="1:5" ht="19.5" thickBot="1">
      <c r="C10" t="s">
        <v>109</v>
      </c>
      <c r="E10" s="75"/>
    </row>
    <row r="11" spans="1:5">
      <c r="B11" s="82" t="s">
        <v>65</v>
      </c>
      <c r="C11" s="83">
        <f>C7</f>
        <v>50</v>
      </c>
      <c r="E11" s="75"/>
    </row>
    <row r="12" spans="1:5" ht="19.5" thickBot="1">
      <c r="B12" s="84" t="s">
        <v>69</v>
      </c>
      <c r="C12" s="85">
        <f>C8^2</f>
        <v>100</v>
      </c>
    </row>
    <row r="13" spans="1:5">
      <c r="B13" s="67"/>
      <c r="C13" s="67"/>
    </row>
    <row r="14" spans="1:5">
      <c r="A14" t="s">
        <v>91</v>
      </c>
      <c r="B14" s="86" t="s">
        <v>70</v>
      </c>
      <c r="C14" t="s">
        <v>71</v>
      </c>
    </row>
    <row r="15" spans="1:5">
      <c r="B15" s="86"/>
      <c r="C15">
        <v>0</v>
      </c>
    </row>
    <row r="16" spans="1:5">
      <c r="A16">
        <v>0</v>
      </c>
      <c r="B16" s="73">
        <f t="shared" ref="B16:B47" si="0">_xlfn.NORM.DIST($C$6+A16,$C$7,$C$8,FALSE)</f>
        <v>1.4867195147342977E-7</v>
      </c>
      <c r="C16" s="73">
        <f t="shared" ref="C16:C79" si="1">C15+B16</f>
        <v>1.4867195147342977E-7</v>
      </c>
    </row>
    <row r="17" spans="1:3">
      <c r="A17">
        <v>1</v>
      </c>
      <c r="B17" s="73">
        <f t="shared" si="0"/>
        <v>2.438960745893352E-7</v>
      </c>
      <c r="C17" s="73">
        <f t="shared" si="1"/>
        <v>3.9256802606276494E-7</v>
      </c>
    </row>
    <row r="18" spans="1:3">
      <c r="A18">
        <v>2</v>
      </c>
      <c r="B18" s="73">
        <f t="shared" si="0"/>
        <v>3.9612990910320755E-7</v>
      </c>
      <c r="C18" s="73">
        <f t="shared" si="1"/>
        <v>7.8869793516597249E-7</v>
      </c>
    </row>
    <row r="19" spans="1:3">
      <c r="A19">
        <v>3</v>
      </c>
      <c r="B19" s="73">
        <f t="shared" si="0"/>
        <v>6.3698251788670893E-7</v>
      </c>
      <c r="C19" s="73">
        <f t="shared" si="1"/>
        <v>1.4256804530526815E-6</v>
      </c>
    </row>
    <row r="20" spans="1:3">
      <c r="A20">
        <v>4</v>
      </c>
      <c r="B20" s="73">
        <f t="shared" si="0"/>
        <v>1.014085206548676E-6</v>
      </c>
      <c r="C20" s="73">
        <f t="shared" si="1"/>
        <v>2.4397656596013578E-6</v>
      </c>
    </row>
    <row r="21" spans="1:3">
      <c r="A21">
        <v>5</v>
      </c>
      <c r="B21" s="73">
        <f t="shared" si="0"/>
        <v>1.5983741106905478E-6</v>
      </c>
      <c r="C21" s="73">
        <f t="shared" si="1"/>
        <v>4.0381397702919058E-6</v>
      </c>
    </row>
    <row r="22" spans="1:3">
      <c r="A22">
        <v>6</v>
      </c>
      <c r="B22" s="73">
        <f t="shared" si="0"/>
        <v>2.4942471290053532E-6</v>
      </c>
      <c r="C22" s="73">
        <f t="shared" si="1"/>
        <v>6.5323868992972589E-6</v>
      </c>
    </row>
    <row r="23" spans="1:3">
      <c r="A23">
        <v>7</v>
      </c>
      <c r="B23" s="73">
        <f t="shared" si="0"/>
        <v>3.8535196742087128E-6</v>
      </c>
      <c r="C23" s="73">
        <f t="shared" si="1"/>
        <v>1.0385906573505973E-5</v>
      </c>
    </row>
    <row r="24" spans="1:3">
      <c r="A24">
        <v>8</v>
      </c>
      <c r="B24" s="73">
        <f t="shared" si="0"/>
        <v>5.8943067756539858E-6</v>
      </c>
      <c r="C24" s="73">
        <f t="shared" si="1"/>
        <v>1.628021334915996E-5</v>
      </c>
    </row>
    <row r="25" spans="1:3">
      <c r="A25">
        <v>9</v>
      </c>
      <c r="B25" s="73">
        <f t="shared" si="0"/>
        <v>8.9261657177132918E-6</v>
      </c>
      <c r="C25" s="73">
        <f t="shared" si="1"/>
        <v>2.520637906687325E-5</v>
      </c>
    </row>
    <row r="26" spans="1:3">
      <c r="A26">
        <v>10</v>
      </c>
      <c r="B26" s="73">
        <f t="shared" si="0"/>
        <v>1.3383022576488536E-5</v>
      </c>
      <c r="C26" s="73">
        <f t="shared" si="1"/>
        <v>3.8589401643361784E-5</v>
      </c>
    </row>
    <row r="27" spans="1:3">
      <c r="A27">
        <v>11</v>
      </c>
      <c r="B27" s="73">
        <f t="shared" si="0"/>
        <v>1.9865547139277272E-5</v>
      </c>
      <c r="C27" s="73">
        <f t="shared" si="1"/>
        <v>5.8454948782639056E-5</v>
      </c>
    </row>
    <row r="28" spans="1:3">
      <c r="A28">
        <v>12</v>
      </c>
      <c r="B28" s="73">
        <f t="shared" si="0"/>
        <v>2.9194692579146026E-5</v>
      </c>
      <c r="C28" s="73">
        <f t="shared" si="1"/>
        <v>8.7649641361785079E-5</v>
      </c>
    </row>
    <row r="29" spans="1:3">
      <c r="A29">
        <v>13</v>
      </c>
      <c r="B29" s="73">
        <f t="shared" si="0"/>
        <v>4.2478027055075142E-5</v>
      </c>
      <c r="C29" s="73">
        <f t="shared" si="1"/>
        <v>1.3012766841686023E-4</v>
      </c>
    </row>
    <row r="30" spans="1:3">
      <c r="A30">
        <v>14</v>
      </c>
      <c r="B30" s="73">
        <f t="shared" si="0"/>
        <v>6.1190193011377187E-5</v>
      </c>
      <c r="C30" s="73">
        <f t="shared" si="1"/>
        <v>1.9131786142823743E-4</v>
      </c>
    </row>
    <row r="31" spans="1:3">
      <c r="A31">
        <v>15</v>
      </c>
      <c r="B31" s="73">
        <f t="shared" si="0"/>
        <v>8.726826950457601E-5</v>
      </c>
      <c r="C31" s="73">
        <f t="shared" si="1"/>
        <v>2.7858613093281347E-4</v>
      </c>
    </row>
    <row r="32" spans="1:3">
      <c r="A32">
        <v>16</v>
      </c>
      <c r="B32" s="73">
        <f t="shared" si="0"/>
        <v>1.2322191684730198E-4</v>
      </c>
      <c r="C32" s="73">
        <f t="shared" si="1"/>
        <v>4.0180804778011545E-4</v>
      </c>
    </row>
    <row r="33" spans="1:3">
      <c r="A33">
        <v>17</v>
      </c>
      <c r="B33" s="73">
        <f t="shared" si="0"/>
        <v>1.722568939053681E-4</v>
      </c>
      <c r="C33" s="73">
        <f t="shared" si="1"/>
        <v>5.740649416854835E-4</v>
      </c>
    </row>
    <row r="34" spans="1:3">
      <c r="A34">
        <v>18</v>
      </c>
      <c r="B34" s="73">
        <f t="shared" si="0"/>
        <v>2.3840882014648405E-4</v>
      </c>
      <c r="C34" s="73">
        <f t="shared" si="1"/>
        <v>8.1247376183196749E-4</v>
      </c>
    </row>
    <row r="35" spans="1:3">
      <c r="A35">
        <v>19</v>
      </c>
      <c r="B35" s="73">
        <f t="shared" si="0"/>
        <v>3.2668190561999186E-4</v>
      </c>
      <c r="C35" s="73">
        <f t="shared" si="1"/>
        <v>1.1391556674519594E-3</v>
      </c>
    </row>
    <row r="36" spans="1:3">
      <c r="A36">
        <v>20</v>
      </c>
      <c r="B36" s="73">
        <f t="shared" si="0"/>
        <v>4.4318484119380076E-4</v>
      </c>
      <c r="C36" s="73">
        <f t="shared" si="1"/>
        <v>1.5823405086457601E-3</v>
      </c>
    </row>
    <row r="37" spans="1:3">
      <c r="A37">
        <v>21</v>
      </c>
      <c r="B37" s="73">
        <f t="shared" si="0"/>
        <v>5.9525324197758534E-4</v>
      </c>
      <c r="C37" s="73">
        <f t="shared" si="1"/>
        <v>2.1775937506233454E-3</v>
      </c>
    </row>
    <row r="38" spans="1:3">
      <c r="A38">
        <v>22</v>
      </c>
      <c r="B38" s="73">
        <f t="shared" si="0"/>
        <v>7.9154515829799694E-4</v>
      </c>
      <c r="C38" s="73">
        <f t="shared" si="1"/>
        <v>2.9691389089213423E-3</v>
      </c>
    </row>
    <row r="39" spans="1:3">
      <c r="A39">
        <v>23</v>
      </c>
      <c r="B39" s="73">
        <f t="shared" si="0"/>
        <v>1.0420934814422591E-3</v>
      </c>
      <c r="C39" s="73">
        <f t="shared" si="1"/>
        <v>4.0112323903636017E-3</v>
      </c>
    </row>
    <row r="40" spans="1:3">
      <c r="A40">
        <v>24</v>
      </c>
      <c r="B40" s="73">
        <f t="shared" si="0"/>
        <v>1.3582969233685612E-3</v>
      </c>
      <c r="C40" s="73">
        <f t="shared" si="1"/>
        <v>5.3695293137321631E-3</v>
      </c>
    </row>
    <row r="41" spans="1:3">
      <c r="A41">
        <v>25</v>
      </c>
      <c r="B41" s="73">
        <f t="shared" si="0"/>
        <v>1.752830049356854E-3</v>
      </c>
      <c r="C41" s="73">
        <f t="shared" si="1"/>
        <v>7.1223593630890172E-3</v>
      </c>
    </row>
    <row r="42" spans="1:3">
      <c r="A42">
        <v>26</v>
      </c>
      <c r="B42" s="73">
        <f t="shared" si="0"/>
        <v>2.2394530294842902E-3</v>
      </c>
      <c r="C42" s="73">
        <f t="shared" si="1"/>
        <v>9.3618123925733078E-3</v>
      </c>
    </row>
    <row r="43" spans="1:3">
      <c r="A43">
        <v>27</v>
      </c>
      <c r="B43" s="73">
        <f t="shared" si="0"/>
        <v>2.8327037741601186E-3</v>
      </c>
      <c r="C43" s="73">
        <f t="shared" si="1"/>
        <v>1.2194516166733426E-2</v>
      </c>
    </row>
    <row r="44" spans="1:3">
      <c r="A44">
        <v>28</v>
      </c>
      <c r="B44" s="73">
        <f t="shared" si="0"/>
        <v>3.5474592846231421E-3</v>
      </c>
      <c r="C44" s="73">
        <f t="shared" si="1"/>
        <v>1.5741975451356569E-2</v>
      </c>
    </row>
    <row r="45" spans="1:3">
      <c r="A45">
        <v>29</v>
      </c>
      <c r="B45" s="73">
        <f t="shared" si="0"/>
        <v>4.3983595980427196E-3</v>
      </c>
      <c r="C45" s="73">
        <f t="shared" si="1"/>
        <v>2.0140335049399289E-2</v>
      </c>
    </row>
    <row r="46" spans="1:3">
      <c r="A46">
        <v>30</v>
      </c>
      <c r="B46" s="73">
        <f t="shared" si="0"/>
        <v>5.3990966513188061E-3</v>
      </c>
      <c r="C46" s="73">
        <f t="shared" si="1"/>
        <v>2.5539431700718096E-2</v>
      </c>
    </row>
    <row r="47" spans="1:3">
      <c r="A47">
        <v>31</v>
      </c>
      <c r="B47" s="73">
        <f t="shared" si="0"/>
        <v>6.5615814774676604E-3</v>
      </c>
      <c r="C47" s="73">
        <f t="shared" si="1"/>
        <v>3.2101013178185756E-2</v>
      </c>
    </row>
    <row r="48" spans="1:3">
      <c r="A48">
        <v>32</v>
      </c>
      <c r="B48" s="73">
        <f t="shared" ref="B48:B79" si="2">_xlfn.NORM.DIST($C$6+A48,$C$7,$C$8,FALSE)</f>
        <v>7.8950158300894139E-3</v>
      </c>
      <c r="C48" s="73">
        <f t="shared" si="1"/>
        <v>3.9996029008275168E-2</v>
      </c>
    </row>
    <row r="49" spans="1:3">
      <c r="A49">
        <v>33</v>
      </c>
      <c r="B49" s="73">
        <f t="shared" si="2"/>
        <v>9.4049077376886937E-3</v>
      </c>
      <c r="C49" s="73">
        <f t="shared" si="1"/>
        <v>4.940093674596386E-2</v>
      </c>
    </row>
    <row r="50" spans="1:3">
      <c r="A50">
        <v>34</v>
      </c>
      <c r="B50" s="73">
        <f t="shared" si="2"/>
        <v>1.1092083467945555E-2</v>
      </c>
      <c r="C50" s="73">
        <f t="shared" si="1"/>
        <v>6.0493020213909413E-2</v>
      </c>
    </row>
    <row r="51" spans="1:3">
      <c r="A51">
        <v>35</v>
      </c>
      <c r="B51" s="73">
        <f t="shared" si="2"/>
        <v>1.2951759566589173E-2</v>
      </c>
      <c r="C51" s="73">
        <f t="shared" si="1"/>
        <v>7.3444779780498584E-2</v>
      </c>
    </row>
    <row r="52" spans="1:3">
      <c r="A52">
        <v>36</v>
      </c>
      <c r="B52" s="73">
        <f t="shared" si="2"/>
        <v>1.4972746563574486E-2</v>
      </c>
      <c r="C52" s="73">
        <f t="shared" si="1"/>
        <v>8.8417526344073072E-2</v>
      </c>
    </row>
    <row r="53" spans="1:3">
      <c r="A53">
        <v>37</v>
      </c>
      <c r="B53" s="73">
        <f t="shared" si="2"/>
        <v>1.7136859204780735E-2</v>
      </c>
      <c r="C53" s="73">
        <f t="shared" si="1"/>
        <v>0.10555438554885381</v>
      </c>
    </row>
    <row r="54" spans="1:3">
      <c r="A54">
        <v>38</v>
      </c>
      <c r="B54" s="73">
        <f t="shared" si="2"/>
        <v>1.9418605498321296E-2</v>
      </c>
      <c r="C54" s="73">
        <f t="shared" si="1"/>
        <v>0.1249729910471751</v>
      </c>
    </row>
    <row r="55" spans="1:3">
      <c r="A55">
        <v>39</v>
      </c>
      <c r="B55" s="73">
        <f t="shared" si="2"/>
        <v>2.1785217703255054E-2</v>
      </c>
      <c r="C55" s="73">
        <f t="shared" si="1"/>
        <v>0.14675820875043016</v>
      </c>
    </row>
    <row r="56" spans="1:3">
      <c r="A56">
        <v>40</v>
      </c>
      <c r="B56" s="73">
        <f t="shared" si="2"/>
        <v>2.4197072451914336E-2</v>
      </c>
      <c r="C56" s="73">
        <f t="shared" si="1"/>
        <v>0.17095528120234449</v>
      </c>
    </row>
    <row r="57" spans="1:3">
      <c r="A57">
        <v>41</v>
      </c>
      <c r="B57" s="73">
        <f t="shared" si="2"/>
        <v>2.6608524989875482E-2</v>
      </c>
      <c r="C57" s="73">
        <f t="shared" si="1"/>
        <v>0.19756380619221997</v>
      </c>
    </row>
    <row r="58" spans="1:3">
      <c r="A58">
        <v>42</v>
      </c>
      <c r="B58" s="73">
        <f t="shared" si="2"/>
        <v>2.8969155276148274E-2</v>
      </c>
      <c r="C58" s="73">
        <f t="shared" si="1"/>
        <v>0.22653296146836824</v>
      </c>
    </row>
    <row r="59" spans="1:3">
      <c r="A59">
        <v>43</v>
      </c>
      <c r="B59" s="73">
        <f t="shared" si="2"/>
        <v>3.1225393336676129E-2</v>
      </c>
      <c r="C59" s="73">
        <f t="shared" si="1"/>
        <v>0.25775835480504439</v>
      </c>
    </row>
    <row r="60" spans="1:3">
      <c r="A60">
        <v>44</v>
      </c>
      <c r="B60" s="73">
        <f t="shared" si="2"/>
        <v>3.3322460289179963E-2</v>
      </c>
      <c r="C60" s="73">
        <f t="shared" si="1"/>
        <v>0.29108081509422434</v>
      </c>
    </row>
    <row r="61" spans="1:3">
      <c r="A61">
        <v>45</v>
      </c>
      <c r="B61" s="73">
        <f t="shared" si="2"/>
        <v>3.5206532676429952E-2</v>
      </c>
      <c r="C61" s="73">
        <f t="shared" si="1"/>
        <v>0.32628734777065427</v>
      </c>
    </row>
    <row r="62" spans="1:3">
      <c r="A62">
        <v>46</v>
      </c>
      <c r="B62" s="73">
        <f t="shared" si="2"/>
        <v>3.6827014030332332E-2</v>
      </c>
      <c r="C62" s="73">
        <f t="shared" si="1"/>
        <v>0.36311436180098661</v>
      </c>
    </row>
    <row r="63" spans="1:3">
      <c r="A63">
        <v>47</v>
      </c>
      <c r="B63" s="73">
        <f t="shared" si="2"/>
        <v>3.8138781546052408E-2</v>
      </c>
      <c r="C63" s="73">
        <f t="shared" si="1"/>
        <v>0.40125314334703899</v>
      </c>
    </row>
    <row r="64" spans="1:3">
      <c r="A64">
        <v>48</v>
      </c>
      <c r="B64" s="73">
        <f t="shared" si="2"/>
        <v>3.9104269397545591E-2</v>
      </c>
      <c r="C64" s="73">
        <f t="shared" si="1"/>
        <v>0.44035741274458456</v>
      </c>
    </row>
    <row r="65" spans="1:3">
      <c r="A65">
        <v>49</v>
      </c>
      <c r="B65" s="73">
        <f t="shared" si="2"/>
        <v>3.9695254747701178E-2</v>
      </c>
      <c r="C65" s="73">
        <f t="shared" si="1"/>
        <v>0.48005266749228576</v>
      </c>
    </row>
    <row r="66" spans="1:3">
      <c r="A66">
        <v>50</v>
      </c>
      <c r="B66" s="73">
        <f t="shared" si="2"/>
        <v>3.9894228040143274E-2</v>
      </c>
      <c r="C66" s="73">
        <f t="shared" si="1"/>
        <v>0.51994689553242901</v>
      </c>
    </row>
    <row r="67" spans="1:3">
      <c r="A67">
        <v>51</v>
      </c>
      <c r="B67" s="73">
        <f t="shared" si="2"/>
        <v>3.9695254747701178E-2</v>
      </c>
      <c r="C67" s="73">
        <f t="shared" si="1"/>
        <v>0.5596421502801302</v>
      </c>
    </row>
    <row r="68" spans="1:3">
      <c r="A68">
        <v>52</v>
      </c>
      <c r="B68" s="73">
        <f t="shared" si="2"/>
        <v>3.9104269397545591E-2</v>
      </c>
      <c r="C68" s="73">
        <f t="shared" si="1"/>
        <v>0.59874641967767583</v>
      </c>
    </row>
    <row r="69" spans="1:3">
      <c r="A69">
        <v>53</v>
      </c>
      <c r="B69" s="73">
        <f t="shared" si="2"/>
        <v>3.8138781546052408E-2</v>
      </c>
      <c r="C69" s="73">
        <f t="shared" si="1"/>
        <v>0.63688520122372827</v>
      </c>
    </row>
    <row r="70" spans="1:3">
      <c r="A70">
        <v>54</v>
      </c>
      <c r="B70" s="73">
        <f t="shared" si="2"/>
        <v>3.6827014030332332E-2</v>
      </c>
      <c r="C70" s="73">
        <f t="shared" si="1"/>
        <v>0.67371221525406055</v>
      </c>
    </row>
    <row r="71" spans="1:3">
      <c r="A71">
        <v>55</v>
      </c>
      <c r="B71" s="73">
        <f t="shared" si="2"/>
        <v>3.5206532676429952E-2</v>
      </c>
      <c r="C71" s="73">
        <f t="shared" si="1"/>
        <v>0.70891874793049048</v>
      </c>
    </row>
    <row r="72" spans="1:3">
      <c r="A72">
        <v>56</v>
      </c>
      <c r="B72" s="73">
        <f t="shared" si="2"/>
        <v>3.3322460289179963E-2</v>
      </c>
      <c r="C72" s="73">
        <f t="shared" si="1"/>
        <v>0.74224120821967043</v>
      </c>
    </row>
    <row r="73" spans="1:3">
      <c r="A73">
        <v>57</v>
      </c>
      <c r="B73" s="73">
        <f t="shared" si="2"/>
        <v>3.1225393336676129E-2</v>
      </c>
      <c r="C73" s="73">
        <f t="shared" si="1"/>
        <v>0.77346660155634661</v>
      </c>
    </row>
    <row r="74" spans="1:3">
      <c r="A74">
        <v>58</v>
      </c>
      <c r="B74" s="73">
        <f t="shared" si="2"/>
        <v>2.8969155276148274E-2</v>
      </c>
      <c r="C74" s="73">
        <f t="shared" si="1"/>
        <v>0.80243575683249491</v>
      </c>
    </row>
    <row r="75" spans="1:3">
      <c r="A75">
        <v>59</v>
      </c>
      <c r="B75" s="73">
        <f t="shared" si="2"/>
        <v>2.6608524989875482E-2</v>
      </c>
      <c r="C75" s="73">
        <f t="shared" si="1"/>
        <v>0.82904428182237044</v>
      </c>
    </row>
    <row r="76" spans="1:3">
      <c r="A76">
        <v>60</v>
      </c>
      <c r="B76" s="73">
        <f t="shared" si="2"/>
        <v>2.4197072451914336E-2</v>
      </c>
      <c r="C76" s="73">
        <f t="shared" si="1"/>
        <v>0.85324135427428482</v>
      </c>
    </row>
    <row r="77" spans="1:3">
      <c r="A77">
        <v>61</v>
      </c>
      <c r="B77" s="73">
        <f t="shared" si="2"/>
        <v>2.1785217703255054E-2</v>
      </c>
      <c r="C77" s="73">
        <f t="shared" si="1"/>
        <v>0.87502657197753986</v>
      </c>
    </row>
    <row r="78" spans="1:3">
      <c r="A78">
        <v>62</v>
      </c>
      <c r="B78" s="73">
        <f t="shared" si="2"/>
        <v>1.9418605498321296E-2</v>
      </c>
      <c r="C78" s="73">
        <f t="shared" si="1"/>
        <v>0.89444517747586116</v>
      </c>
    </row>
    <row r="79" spans="1:3">
      <c r="A79">
        <v>63</v>
      </c>
      <c r="B79" s="73">
        <f t="shared" si="2"/>
        <v>1.7136859204780735E-2</v>
      </c>
      <c r="C79" s="73">
        <f t="shared" si="1"/>
        <v>0.91158203668064186</v>
      </c>
    </row>
    <row r="80" spans="1:3">
      <c r="A80">
        <v>64</v>
      </c>
      <c r="B80" s="73">
        <f t="shared" ref="B80:B111" si="3">_xlfn.NORM.DIST($C$6+A80,$C$7,$C$8,FALSE)</f>
        <v>1.4972746563574486E-2</v>
      </c>
      <c r="C80" s="73">
        <f t="shared" ref="C80:C116" si="4">C79+B80</f>
        <v>0.92655478324421636</v>
      </c>
    </row>
    <row r="81" spans="1:3">
      <c r="A81">
        <v>65</v>
      </c>
      <c r="B81" s="73">
        <f t="shared" si="3"/>
        <v>1.2951759566589173E-2</v>
      </c>
      <c r="C81" s="73">
        <f t="shared" si="4"/>
        <v>0.93950654281080559</v>
      </c>
    </row>
    <row r="82" spans="1:3">
      <c r="A82">
        <v>66</v>
      </c>
      <c r="B82" s="73">
        <f t="shared" si="3"/>
        <v>1.1092083467945555E-2</v>
      </c>
      <c r="C82" s="73">
        <f t="shared" si="4"/>
        <v>0.95059862627875114</v>
      </c>
    </row>
    <row r="83" spans="1:3">
      <c r="A83">
        <v>67</v>
      </c>
      <c r="B83" s="73">
        <f t="shared" si="3"/>
        <v>9.4049077376886937E-3</v>
      </c>
      <c r="C83" s="73">
        <f t="shared" si="4"/>
        <v>0.96000353401643979</v>
      </c>
    </row>
    <row r="84" spans="1:3">
      <c r="A84">
        <v>68</v>
      </c>
      <c r="B84" s="73">
        <f t="shared" si="3"/>
        <v>7.8950158300894139E-3</v>
      </c>
      <c r="C84" s="73">
        <f t="shared" si="4"/>
        <v>0.96789854984652923</v>
      </c>
    </row>
    <row r="85" spans="1:3">
      <c r="A85">
        <v>69</v>
      </c>
      <c r="B85" s="73">
        <f t="shared" si="3"/>
        <v>6.5615814774676604E-3</v>
      </c>
      <c r="C85" s="73">
        <f t="shared" si="4"/>
        <v>0.97446013132399689</v>
      </c>
    </row>
    <row r="86" spans="1:3">
      <c r="A86">
        <v>70</v>
      </c>
      <c r="B86" s="73">
        <f t="shared" si="3"/>
        <v>5.3990966513188061E-3</v>
      </c>
      <c r="C86" s="73">
        <f t="shared" si="4"/>
        <v>0.97985922797531566</v>
      </c>
    </row>
    <row r="87" spans="1:3">
      <c r="A87">
        <v>71</v>
      </c>
      <c r="B87" s="73">
        <f t="shared" si="3"/>
        <v>4.3983595980427196E-3</v>
      </c>
      <c r="C87" s="73">
        <f t="shared" si="4"/>
        <v>0.98425758757335835</v>
      </c>
    </row>
    <row r="88" spans="1:3">
      <c r="A88">
        <v>72</v>
      </c>
      <c r="B88" s="73">
        <f t="shared" si="3"/>
        <v>3.5474592846231421E-3</v>
      </c>
      <c r="C88" s="73">
        <f t="shared" si="4"/>
        <v>0.98780504685798154</v>
      </c>
    </row>
    <row r="89" spans="1:3">
      <c r="A89">
        <v>73</v>
      </c>
      <c r="B89" s="73">
        <f t="shared" si="3"/>
        <v>2.8327037741601186E-3</v>
      </c>
      <c r="C89" s="73">
        <f t="shared" si="4"/>
        <v>0.99063775063214166</v>
      </c>
    </row>
    <row r="90" spans="1:3">
      <c r="A90">
        <v>74</v>
      </c>
      <c r="B90" s="73">
        <f t="shared" si="3"/>
        <v>2.2394530294842902E-3</v>
      </c>
      <c r="C90" s="73">
        <f t="shared" si="4"/>
        <v>0.99287720366162591</v>
      </c>
    </row>
    <row r="91" spans="1:3">
      <c r="A91">
        <v>75</v>
      </c>
      <c r="B91" s="73">
        <f t="shared" si="3"/>
        <v>1.752830049356854E-3</v>
      </c>
      <c r="C91" s="73">
        <f t="shared" si="4"/>
        <v>0.9946300337109828</v>
      </c>
    </row>
    <row r="92" spans="1:3">
      <c r="A92">
        <v>76</v>
      </c>
      <c r="B92" s="73">
        <f t="shared" si="3"/>
        <v>1.3582969233685612E-3</v>
      </c>
      <c r="C92" s="73">
        <f t="shared" si="4"/>
        <v>0.99598833063435133</v>
      </c>
    </row>
    <row r="93" spans="1:3">
      <c r="A93">
        <v>77</v>
      </c>
      <c r="B93" s="73">
        <f t="shared" si="3"/>
        <v>1.0420934814422591E-3</v>
      </c>
      <c r="C93" s="73">
        <f t="shared" si="4"/>
        <v>0.99703042411579357</v>
      </c>
    </row>
    <row r="94" spans="1:3">
      <c r="A94">
        <v>78</v>
      </c>
      <c r="B94" s="73">
        <f t="shared" si="3"/>
        <v>7.9154515829799694E-4</v>
      </c>
      <c r="C94" s="73">
        <f t="shared" si="4"/>
        <v>0.99782196927409161</v>
      </c>
    </row>
    <row r="95" spans="1:3">
      <c r="A95">
        <v>79</v>
      </c>
      <c r="B95" s="73">
        <f t="shared" si="3"/>
        <v>5.9525324197758534E-4</v>
      </c>
      <c r="C95" s="73">
        <f t="shared" si="4"/>
        <v>0.99841722251606924</v>
      </c>
    </row>
    <row r="96" spans="1:3">
      <c r="A96">
        <v>80</v>
      </c>
      <c r="B96" s="73">
        <f t="shared" si="3"/>
        <v>4.4318484119380076E-4</v>
      </c>
      <c r="C96" s="73">
        <f t="shared" si="4"/>
        <v>0.998860407357263</v>
      </c>
    </row>
    <row r="97" spans="1:3">
      <c r="A97">
        <v>81</v>
      </c>
      <c r="B97" s="73">
        <f t="shared" si="3"/>
        <v>3.2668190561999186E-4</v>
      </c>
      <c r="C97" s="73">
        <f t="shared" si="4"/>
        <v>0.99918708926288302</v>
      </c>
    </row>
    <row r="98" spans="1:3">
      <c r="A98">
        <v>82</v>
      </c>
      <c r="B98" s="73">
        <f t="shared" si="3"/>
        <v>2.3840882014648405E-4</v>
      </c>
      <c r="C98" s="73">
        <f t="shared" si="4"/>
        <v>0.9994254980830295</v>
      </c>
    </row>
    <row r="99" spans="1:3">
      <c r="A99">
        <v>83</v>
      </c>
      <c r="B99" s="73">
        <f t="shared" si="3"/>
        <v>1.722568939053681E-4</v>
      </c>
      <c r="C99" s="73">
        <f t="shared" si="4"/>
        <v>0.99959775497693482</v>
      </c>
    </row>
    <row r="100" spans="1:3">
      <c r="A100">
        <v>84</v>
      </c>
      <c r="B100" s="73">
        <f t="shared" si="3"/>
        <v>1.2322191684730198E-4</v>
      </c>
      <c r="C100" s="73">
        <f t="shared" si="4"/>
        <v>0.99972097689378214</v>
      </c>
    </row>
    <row r="101" spans="1:3">
      <c r="A101">
        <v>85</v>
      </c>
      <c r="B101" s="73">
        <f t="shared" si="3"/>
        <v>8.726826950457601E-5</v>
      </c>
      <c r="C101" s="73">
        <f t="shared" si="4"/>
        <v>0.9998082451632867</v>
      </c>
    </row>
    <row r="102" spans="1:3">
      <c r="A102">
        <v>86</v>
      </c>
      <c r="B102" s="73">
        <f t="shared" si="3"/>
        <v>6.1190193011377187E-5</v>
      </c>
      <c r="C102" s="73">
        <f t="shared" si="4"/>
        <v>0.99986943535629813</v>
      </c>
    </row>
    <row r="103" spans="1:3">
      <c r="A103">
        <v>87</v>
      </c>
      <c r="B103" s="73">
        <f t="shared" si="3"/>
        <v>4.2478027055075142E-5</v>
      </c>
      <c r="C103" s="73">
        <f t="shared" si="4"/>
        <v>0.99991191338335317</v>
      </c>
    </row>
    <row r="104" spans="1:3">
      <c r="A104">
        <v>88</v>
      </c>
      <c r="B104" s="73">
        <f t="shared" si="3"/>
        <v>2.9194692579146026E-5</v>
      </c>
      <c r="C104" s="73">
        <f t="shared" si="4"/>
        <v>0.99994110807593228</v>
      </c>
    </row>
    <row r="105" spans="1:3">
      <c r="A105">
        <v>89</v>
      </c>
      <c r="B105" s="73">
        <f t="shared" si="3"/>
        <v>1.9865547139277272E-5</v>
      </c>
      <c r="C105" s="73">
        <f t="shared" si="4"/>
        <v>0.99996097362307157</v>
      </c>
    </row>
    <row r="106" spans="1:3">
      <c r="A106">
        <v>90</v>
      </c>
      <c r="B106" s="73">
        <f t="shared" si="3"/>
        <v>1.3383022576488536E-5</v>
      </c>
      <c r="C106" s="73">
        <f t="shared" si="4"/>
        <v>0.99997435664564804</v>
      </c>
    </row>
    <row r="107" spans="1:3">
      <c r="A107">
        <v>91</v>
      </c>
      <c r="B107" s="73">
        <f t="shared" si="3"/>
        <v>8.9261657177132918E-6</v>
      </c>
      <c r="C107" s="73">
        <f t="shared" si="4"/>
        <v>0.99998328281136573</v>
      </c>
    </row>
    <row r="108" spans="1:3">
      <c r="A108">
        <v>92</v>
      </c>
      <c r="B108" s="73">
        <f t="shared" si="3"/>
        <v>5.8943067756539858E-6</v>
      </c>
      <c r="C108" s="73">
        <f t="shared" si="4"/>
        <v>0.99998917711814139</v>
      </c>
    </row>
    <row r="109" spans="1:3">
      <c r="A109">
        <v>93</v>
      </c>
      <c r="B109" s="73">
        <f t="shared" si="3"/>
        <v>3.8535196742087128E-6</v>
      </c>
      <c r="C109" s="73">
        <f t="shared" si="4"/>
        <v>0.99999303063781564</v>
      </c>
    </row>
    <row r="110" spans="1:3">
      <c r="A110">
        <v>94</v>
      </c>
      <c r="B110" s="73">
        <f t="shared" si="3"/>
        <v>2.4942471290053532E-6</v>
      </c>
      <c r="C110" s="73">
        <f t="shared" si="4"/>
        <v>0.9999955248849447</v>
      </c>
    </row>
    <row r="111" spans="1:3">
      <c r="A111">
        <v>95</v>
      </c>
      <c r="B111" s="73">
        <f t="shared" si="3"/>
        <v>1.5983741106905478E-6</v>
      </c>
      <c r="C111" s="73">
        <f t="shared" si="4"/>
        <v>0.99999712325905543</v>
      </c>
    </row>
    <row r="112" spans="1:3">
      <c r="A112">
        <v>96</v>
      </c>
      <c r="B112" s="73">
        <f t="shared" ref="B112:B116" si="5">_xlfn.NORM.DIST($C$6+A112,$C$7,$C$8,FALSE)</f>
        <v>1.014085206548676E-6</v>
      </c>
      <c r="C112" s="73">
        <f t="shared" si="4"/>
        <v>0.99999813734426202</v>
      </c>
    </row>
    <row r="113" spans="1:3">
      <c r="A113">
        <v>97</v>
      </c>
      <c r="B113" s="73">
        <f t="shared" si="5"/>
        <v>6.3698251788670893E-7</v>
      </c>
      <c r="C113" s="73">
        <f t="shared" si="4"/>
        <v>0.99999877432677986</v>
      </c>
    </row>
    <row r="114" spans="1:3">
      <c r="A114">
        <v>98</v>
      </c>
      <c r="B114" s="73">
        <f t="shared" si="5"/>
        <v>3.9612990910320755E-7</v>
      </c>
      <c r="C114" s="73">
        <f t="shared" si="4"/>
        <v>0.99999917045668896</v>
      </c>
    </row>
    <row r="115" spans="1:3">
      <c r="A115">
        <v>99</v>
      </c>
      <c r="B115" s="73">
        <f t="shared" si="5"/>
        <v>2.438960745893352E-7</v>
      </c>
      <c r="C115" s="73">
        <f t="shared" si="4"/>
        <v>0.99999941435276352</v>
      </c>
    </row>
    <row r="116" spans="1:3">
      <c r="A116">
        <v>100</v>
      </c>
      <c r="B116" s="73">
        <f t="shared" si="5"/>
        <v>1.4867195147342977E-7</v>
      </c>
      <c r="C116" s="73">
        <f t="shared" si="4"/>
        <v>0.99999956302471504</v>
      </c>
    </row>
    <row r="117" spans="1:3">
      <c r="B117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113A6-B67C-4439-BD6B-9525CE1370AD}">
  <sheetPr codeName="Sheet13"/>
  <dimension ref="A1:F116"/>
  <sheetViews>
    <sheetView zoomScale="106" zoomScaleNormal="106" workbookViewId="0">
      <selection activeCell="C7" sqref="C7"/>
    </sheetView>
  </sheetViews>
  <sheetFormatPr defaultRowHeight="18.75"/>
  <cols>
    <col min="1" max="4" width="15.625" customWidth="1"/>
    <col min="5" max="5" width="29" bestFit="1" customWidth="1"/>
  </cols>
  <sheetData>
    <row r="1" spans="1:6">
      <c r="A1" s="88" t="s">
        <v>111</v>
      </c>
      <c r="B1" s="132" t="s">
        <v>110</v>
      </c>
      <c r="C1" s="132"/>
      <c r="F1" t="s">
        <v>71</v>
      </c>
    </row>
    <row r="2" spans="1:6">
      <c r="A2" s="88" t="s">
        <v>112</v>
      </c>
      <c r="B2" s="89" t="s">
        <v>98</v>
      </c>
      <c r="C2" s="90"/>
      <c r="D2" s="91"/>
    </row>
    <row r="3" spans="1:6">
      <c r="A3" s="88" t="s">
        <v>113</v>
      </c>
      <c r="B3" s="93"/>
      <c r="C3" s="94"/>
      <c r="D3" s="70"/>
    </row>
    <row r="4" spans="1:6" ht="19.5" thickBot="1">
      <c r="A4" s="92" t="s">
        <v>60</v>
      </c>
      <c r="B4" s="95" t="s">
        <v>112</v>
      </c>
      <c r="C4" s="102" t="s">
        <v>61</v>
      </c>
      <c r="D4" s="95"/>
      <c r="E4" s="95" t="s">
        <v>59</v>
      </c>
    </row>
    <row r="5" spans="1:6">
      <c r="A5" s="92">
        <v>1</v>
      </c>
      <c r="B5" s="100" t="s">
        <v>103</v>
      </c>
      <c r="C5" s="103">
        <v>0</v>
      </c>
      <c r="D5" s="101" t="s">
        <v>76</v>
      </c>
      <c r="E5" s="96" t="s">
        <v>106</v>
      </c>
    </row>
    <row r="6" spans="1:6">
      <c r="A6" s="92">
        <v>2</v>
      </c>
      <c r="B6" s="100" t="s">
        <v>104</v>
      </c>
      <c r="C6" s="104">
        <v>0.1</v>
      </c>
      <c r="D6" s="101"/>
      <c r="E6" s="97" t="s">
        <v>116</v>
      </c>
    </row>
    <row r="7" spans="1:6">
      <c r="A7" s="92">
        <v>3</v>
      </c>
      <c r="B7" s="100"/>
      <c r="C7" s="104"/>
      <c r="D7" s="101"/>
      <c r="E7" s="97"/>
    </row>
    <row r="8" spans="1:6">
      <c r="A8" s="92">
        <v>4</v>
      </c>
      <c r="B8" s="100"/>
      <c r="C8" s="104"/>
      <c r="D8" s="101"/>
      <c r="E8" s="98"/>
    </row>
    <row r="9" spans="1:6" ht="19.5" thickBot="1">
      <c r="A9" s="92">
        <v>5</v>
      </c>
      <c r="B9" s="100"/>
      <c r="C9" s="106"/>
      <c r="D9" s="101"/>
      <c r="E9" s="99"/>
    </row>
    <row r="10" spans="1:6">
      <c r="A10" s="88" t="s">
        <v>65</v>
      </c>
      <c r="C10" s="103">
        <f>1/C6</f>
        <v>10</v>
      </c>
      <c r="D10" s="101" t="s">
        <v>115</v>
      </c>
      <c r="E10" s="99"/>
    </row>
    <row r="11" spans="1:6" ht="19.5" thickBot="1">
      <c r="A11" s="88" t="s">
        <v>69</v>
      </c>
      <c r="C11" s="105">
        <f>1/(C6^2)</f>
        <v>99.999999999999986</v>
      </c>
      <c r="D11" s="101" t="s">
        <v>114</v>
      </c>
      <c r="E11" s="95"/>
    </row>
    <row r="12" spans="1:6">
      <c r="B12" s="67"/>
      <c r="C12" s="67"/>
    </row>
    <row r="13" spans="1:6">
      <c r="A13" t="s">
        <v>91</v>
      </c>
      <c r="B13" s="86" t="s">
        <v>70</v>
      </c>
      <c r="C13" t="s">
        <v>71</v>
      </c>
    </row>
    <row r="14" spans="1:6">
      <c r="B14" s="86"/>
      <c r="C14">
        <v>0</v>
      </c>
      <c r="F14" t="s">
        <v>70</v>
      </c>
    </row>
    <row r="15" spans="1:6">
      <c r="A15">
        <v>0</v>
      </c>
      <c r="B15" s="73">
        <f t="shared" ref="B15:B46" si="0">_xlfn.EXPON.DIST($C$5+A15,$C$6,FALSE)</f>
        <v>0.1</v>
      </c>
      <c r="C15" s="73">
        <f t="shared" ref="C15:C46" si="1">_xlfn.EXPON.DIST($C$5+A15,$C$6,TRUE)</f>
        <v>0</v>
      </c>
    </row>
    <row r="16" spans="1:6">
      <c r="A16">
        <v>1</v>
      </c>
      <c r="B16" s="73">
        <f t="shared" si="0"/>
        <v>9.048374180359596E-2</v>
      </c>
      <c r="C16" s="73">
        <f t="shared" si="1"/>
        <v>9.5162581964040427E-2</v>
      </c>
    </row>
    <row r="17" spans="1:3">
      <c r="A17">
        <v>2</v>
      </c>
      <c r="B17" s="73">
        <f t="shared" si="0"/>
        <v>8.1873075307798193E-2</v>
      </c>
      <c r="C17" s="73">
        <f t="shared" si="1"/>
        <v>0.18126924692201815</v>
      </c>
    </row>
    <row r="18" spans="1:3">
      <c r="A18">
        <v>3</v>
      </c>
      <c r="B18" s="73">
        <f t="shared" si="0"/>
        <v>7.4081822068171793E-2</v>
      </c>
      <c r="C18" s="73">
        <f t="shared" si="1"/>
        <v>0.25918177931828218</v>
      </c>
    </row>
    <row r="19" spans="1:3">
      <c r="A19">
        <v>4</v>
      </c>
      <c r="B19" s="73">
        <f t="shared" si="0"/>
        <v>6.7032004603563941E-2</v>
      </c>
      <c r="C19" s="73">
        <f t="shared" si="1"/>
        <v>0.32967995396436073</v>
      </c>
    </row>
    <row r="20" spans="1:3">
      <c r="A20">
        <v>5</v>
      </c>
      <c r="B20" s="73">
        <f t="shared" si="0"/>
        <v>6.0653065971263347E-2</v>
      </c>
      <c r="C20" s="73">
        <f t="shared" si="1"/>
        <v>0.39346934028736658</v>
      </c>
    </row>
    <row r="21" spans="1:3">
      <c r="A21">
        <v>6</v>
      </c>
      <c r="B21" s="73">
        <f t="shared" si="0"/>
        <v>5.4881163609402643E-2</v>
      </c>
      <c r="C21" s="73">
        <f t="shared" si="1"/>
        <v>0.45118836390597356</v>
      </c>
    </row>
    <row r="22" spans="1:3">
      <c r="A22">
        <v>7</v>
      </c>
      <c r="B22" s="73">
        <f t="shared" si="0"/>
        <v>4.9658530379140947E-2</v>
      </c>
      <c r="C22" s="73">
        <f t="shared" si="1"/>
        <v>0.50341469620859058</v>
      </c>
    </row>
    <row r="23" spans="1:3">
      <c r="A23">
        <v>8</v>
      </c>
      <c r="B23" s="73">
        <f t="shared" si="0"/>
        <v>4.4932896411722156E-2</v>
      </c>
      <c r="C23" s="73">
        <f t="shared" si="1"/>
        <v>0.55067103588277844</v>
      </c>
    </row>
    <row r="24" spans="1:3">
      <c r="A24">
        <v>9</v>
      </c>
      <c r="B24" s="73">
        <f t="shared" si="0"/>
        <v>4.0656965974059912E-2</v>
      </c>
      <c r="C24" s="73">
        <f t="shared" si="1"/>
        <v>0.59343034025940089</v>
      </c>
    </row>
    <row r="25" spans="1:3">
      <c r="A25">
        <v>10</v>
      </c>
      <c r="B25" s="73">
        <f t="shared" si="0"/>
        <v>3.6787944117144235E-2</v>
      </c>
      <c r="C25" s="73">
        <f t="shared" si="1"/>
        <v>0.63212055882855767</v>
      </c>
    </row>
    <row r="26" spans="1:3">
      <c r="A26">
        <v>11</v>
      </c>
      <c r="B26" s="73">
        <f t="shared" si="0"/>
        <v>3.3287108369807958E-2</v>
      </c>
      <c r="C26" s="73">
        <f t="shared" si="1"/>
        <v>0.6671289163019205</v>
      </c>
    </row>
    <row r="27" spans="1:3">
      <c r="A27">
        <v>12</v>
      </c>
      <c r="B27" s="73">
        <f t="shared" si="0"/>
        <v>3.0119421191220203E-2</v>
      </c>
      <c r="C27" s="73">
        <f t="shared" si="1"/>
        <v>0.69880578808779803</v>
      </c>
    </row>
    <row r="28" spans="1:3">
      <c r="A28">
        <v>13</v>
      </c>
      <c r="B28" s="73">
        <f t="shared" si="0"/>
        <v>2.7253179303401261E-2</v>
      </c>
      <c r="C28" s="73">
        <f t="shared" si="1"/>
        <v>0.72746820696598746</v>
      </c>
    </row>
    <row r="29" spans="1:3">
      <c r="A29">
        <v>14</v>
      </c>
      <c r="B29" s="73">
        <f t="shared" si="0"/>
        <v>2.4659696394160643E-2</v>
      </c>
      <c r="C29" s="73">
        <f t="shared" si="1"/>
        <v>0.75340303605839354</v>
      </c>
    </row>
    <row r="30" spans="1:3">
      <c r="A30">
        <v>15</v>
      </c>
      <c r="B30" s="73">
        <f t="shared" si="0"/>
        <v>2.2313016014842982E-2</v>
      </c>
      <c r="C30" s="73">
        <f t="shared" si="1"/>
        <v>0.77686983985157021</v>
      </c>
    </row>
    <row r="31" spans="1:3">
      <c r="A31">
        <v>16</v>
      </c>
      <c r="B31" s="73">
        <f t="shared" si="0"/>
        <v>2.0189651799465538E-2</v>
      </c>
      <c r="C31" s="73">
        <f t="shared" si="1"/>
        <v>0.79810348200534464</v>
      </c>
    </row>
    <row r="32" spans="1:3">
      <c r="A32">
        <v>17</v>
      </c>
      <c r="B32" s="73">
        <f t="shared" si="0"/>
        <v>1.8268352405273462E-2</v>
      </c>
      <c r="C32" s="73">
        <f t="shared" si="1"/>
        <v>0.81731647594726542</v>
      </c>
    </row>
    <row r="33" spans="1:3">
      <c r="A33">
        <v>18</v>
      </c>
      <c r="B33" s="73">
        <f t="shared" si="0"/>
        <v>1.6529888822158653E-2</v>
      </c>
      <c r="C33" s="73">
        <f t="shared" si="1"/>
        <v>0.83470111177841344</v>
      </c>
    </row>
    <row r="34" spans="1:3">
      <c r="A34">
        <v>19</v>
      </c>
      <c r="B34" s="73">
        <f t="shared" si="0"/>
        <v>1.4956861922263504E-2</v>
      </c>
      <c r="C34" s="73">
        <f t="shared" si="1"/>
        <v>0.85043138077736491</v>
      </c>
    </row>
    <row r="35" spans="1:3">
      <c r="A35">
        <v>20</v>
      </c>
      <c r="B35" s="73">
        <f t="shared" si="0"/>
        <v>1.3533528323661271E-2</v>
      </c>
      <c r="C35" s="73">
        <f t="shared" si="1"/>
        <v>0.8646647167633873</v>
      </c>
    </row>
    <row r="36" spans="1:3">
      <c r="A36">
        <v>21</v>
      </c>
      <c r="B36" s="73">
        <f t="shared" si="0"/>
        <v>1.2245642825298192E-2</v>
      </c>
      <c r="C36" s="73">
        <f t="shared" si="1"/>
        <v>0.87754357174701814</v>
      </c>
    </row>
    <row r="37" spans="1:3">
      <c r="A37">
        <v>22</v>
      </c>
      <c r="B37" s="73">
        <f t="shared" si="0"/>
        <v>1.1080315836233388E-2</v>
      </c>
      <c r="C37" s="73">
        <f t="shared" si="1"/>
        <v>0.8891968416376661</v>
      </c>
    </row>
    <row r="38" spans="1:3">
      <c r="A38">
        <v>23</v>
      </c>
      <c r="B38" s="73">
        <f t="shared" si="0"/>
        <v>1.0025884372280372E-2</v>
      </c>
      <c r="C38" s="73">
        <f t="shared" si="1"/>
        <v>0.89974115627719631</v>
      </c>
    </row>
    <row r="39" spans="1:3">
      <c r="A39">
        <v>24</v>
      </c>
      <c r="B39" s="73">
        <f t="shared" si="0"/>
        <v>9.0717953289412481E-3</v>
      </c>
      <c r="C39" s="73">
        <f t="shared" si="1"/>
        <v>0.90928204671058754</v>
      </c>
    </row>
    <row r="40" spans="1:3">
      <c r="A40">
        <v>25</v>
      </c>
      <c r="B40" s="73">
        <f t="shared" si="0"/>
        <v>8.208499862389881E-3</v>
      </c>
      <c r="C40" s="73">
        <f t="shared" si="1"/>
        <v>0.91791500137610116</v>
      </c>
    </row>
    <row r="41" spans="1:3">
      <c r="A41">
        <v>26</v>
      </c>
      <c r="B41" s="73">
        <f t="shared" si="0"/>
        <v>7.4273578214333882E-3</v>
      </c>
      <c r="C41" s="73">
        <f t="shared" si="1"/>
        <v>0.92572642178566611</v>
      </c>
    </row>
    <row r="42" spans="1:3">
      <c r="A42">
        <v>27</v>
      </c>
      <c r="B42" s="73">
        <f t="shared" si="0"/>
        <v>6.7205512739749763E-3</v>
      </c>
      <c r="C42" s="73">
        <f t="shared" si="1"/>
        <v>0.93279448726025027</v>
      </c>
    </row>
    <row r="43" spans="1:3">
      <c r="A43">
        <v>28</v>
      </c>
      <c r="B43" s="73">
        <f t="shared" si="0"/>
        <v>6.0810062625217959E-3</v>
      </c>
      <c r="C43" s="73">
        <f t="shared" si="1"/>
        <v>0.93918993737478207</v>
      </c>
    </row>
    <row r="44" spans="1:3">
      <c r="A44">
        <v>29</v>
      </c>
      <c r="B44" s="73">
        <f t="shared" si="0"/>
        <v>5.502322005640721E-3</v>
      </c>
      <c r="C44" s="73">
        <f t="shared" si="1"/>
        <v>0.94497677994359275</v>
      </c>
    </row>
    <row r="45" spans="1:3">
      <c r="A45">
        <v>30</v>
      </c>
      <c r="B45" s="73">
        <f t="shared" si="0"/>
        <v>4.9787068367863948E-3</v>
      </c>
      <c r="C45" s="73">
        <f t="shared" si="1"/>
        <v>0.95021293163213605</v>
      </c>
    </row>
    <row r="46" spans="1:3">
      <c r="A46">
        <v>31</v>
      </c>
      <c r="B46" s="73">
        <f t="shared" si="0"/>
        <v>4.5049202393557799E-3</v>
      </c>
      <c r="C46" s="73">
        <f t="shared" si="1"/>
        <v>0.95495079760644219</v>
      </c>
    </row>
    <row r="47" spans="1:3">
      <c r="A47">
        <v>32</v>
      </c>
      <c r="B47" s="73">
        <f t="shared" ref="B47:B78" si="2">_xlfn.EXPON.DIST($C$5+A47,$C$6,FALSE)</f>
        <v>4.0762203978366215E-3</v>
      </c>
      <c r="C47" s="73">
        <f t="shared" ref="C47:C78" si="3">_xlfn.EXPON.DIST($C$5+A47,$C$6,TRUE)</f>
        <v>0.95923779602163384</v>
      </c>
    </row>
    <row r="48" spans="1:3">
      <c r="A48">
        <v>33</v>
      </c>
      <c r="B48" s="73">
        <f t="shared" si="2"/>
        <v>3.6883167401239995E-3</v>
      </c>
      <c r="C48" s="73">
        <f t="shared" si="3"/>
        <v>0.96311683259876002</v>
      </c>
    </row>
    <row r="49" spans="1:3">
      <c r="A49">
        <v>34</v>
      </c>
      <c r="B49" s="73">
        <f t="shared" si="2"/>
        <v>3.3373269960326069E-3</v>
      </c>
      <c r="C49" s="73">
        <f t="shared" si="3"/>
        <v>0.96662673003967392</v>
      </c>
    </row>
    <row r="50" spans="1:3">
      <c r="A50">
        <v>35</v>
      </c>
      <c r="B50" s="73">
        <f t="shared" si="2"/>
        <v>3.0197383422318502E-3</v>
      </c>
      <c r="C50" s="73">
        <f t="shared" si="3"/>
        <v>0.96980261657768152</v>
      </c>
    </row>
    <row r="51" spans="1:3">
      <c r="A51">
        <v>36</v>
      </c>
      <c r="B51" s="73">
        <f t="shared" si="2"/>
        <v>2.7323722447292562E-3</v>
      </c>
      <c r="C51" s="73">
        <f t="shared" si="3"/>
        <v>0.97267627755270747</v>
      </c>
    </row>
    <row r="52" spans="1:3">
      <c r="A52">
        <v>37</v>
      </c>
      <c r="B52" s="73">
        <f t="shared" si="2"/>
        <v>2.4723526470339392E-3</v>
      </c>
      <c r="C52" s="73">
        <f t="shared" si="3"/>
        <v>0.97527647352966063</v>
      </c>
    </row>
    <row r="53" spans="1:3">
      <c r="A53">
        <v>38</v>
      </c>
      <c r="B53" s="73">
        <f t="shared" si="2"/>
        <v>2.2370771856165591E-3</v>
      </c>
      <c r="C53" s="73">
        <f t="shared" si="3"/>
        <v>0.97762922814383446</v>
      </c>
    </row>
    <row r="54" spans="1:3">
      <c r="A54">
        <v>39</v>
      </c>
      <c r="B54" s="73">
        <f t="shared" si="2"/>
        <v>2.0241911445804382E-3</v>
      </c>
      <c r="C54" s="73">
        <f t="shared" si="3"/>
        <v>0.97975808855419566</v>
      </c>
    </row>
    <row r="55" spans="1:3">
      <c r="A55">
        <v>40</v>
      </c>
      <c r="B55" s="73">
        <f t="shared" si="2"/>
        <v>1.831563888873418E-3</v>
      </c>
      <c r="C55" s="73">
        <f t="shared" si="3"/>
        <v>0.98168436111126578</v>
      </c>
    </row>
    <row r="56" spans="1:3">
      <c r="A56">
        <v>41</v>
      </c>
      <c r="B56" s="73">
        <f t="shared" si="2"/>
        <v>1.6572675401761239E-3</v>
      </c>
      <c r="C56" s="73">
        <f t="shared" si="3"/>
        <v>0.98342732459823878</v>
      </c>
    </row>
    <row r="57" spans="1:3">
      <c r="A57">
        <v>42</v>
      </c>
      <c r="B57" s="73">
        <f t="shared" si="2"/>
        <v>1.4995576820477704E-3</v>
      </c>
      <c r="C57" s="73">
        <f t="shared" si="3"/>
        <v>0.9850044231795223</v>
      </c>
    </row>
    <row r="58" spans="1:3">
      <c r="A58">
        <v>43</v>
      </c>
      <c r="B58" s="73">
        <f t="shared" si="2"/>
        <v>1.3568559012200935E-3</v>
      </c>
      <c r="C58" s="73">
        <f t="shared" si="3"/>
        <v>0.98643144098779911</v>
      </c>
    </row>
    <row r="59" spans="1:3">
      <c r="A59">
        <v>44</v>
      </c>
      <c r="B59" s="73">
        <f t="shared" si="2"/>
        <v>1.2277339903068436E-3</v>
      </c>
      <c r="C59" s="73">
        <f t="shared" si="3"/>
        <v>0.98772266009693155</v>
      </c>
    </row>
    <row r="60" spans="1:3">
      <c r="A60">
        <v>45</v>
      </c>
      <c r="B60" s="73">
        <f t="shared" si="2"/>
        <v>1.1108996538242307E-3</v>
      </c>
      <c r="C60" s="73">
        <f t="shared" si="3"/>
        <v>0.98889100346175773</v>
      </c>
    </row>
    <row r="61" spans="1:3">
      <c r="A61">
        <v>46</v>
      </c>
      <c r="B61" s="73">
        <f t="shared" si="2"/>
        <v>1.0051835744633575E-3</v>
      </c>
      <c r="C61" s="73">
        <f t="shared" si="3"/>
        <v>0.98994816425536647</v>
      </c>
    </row>
    <row r="62" spans="1:3">
      <c r="A62">
        <v>47</v>
      </c>
      <c r="B62" s="73">
        <f t="shared" si="2"/>
        <v>9.095277101695816E-4</v>
      </c>
      <c r="C62" s="73">
        <f t="shared" si="3"/>
        <v>0.99090472289830422</v>
      </c>
    </row>
    <row r="63" spans="1:3">
      <c r="A63">
        <v>48</v>
      </c>
      <c r="B63" s="73">
        <f t="shared" si="2"/>
        <v>8.2297470490200241E-4</v>
      </c>
      <c r="C63" s="73">
        <f t="shared" si="3"/>
        <v>0.99177025295097998</v>
      </c>
    </row>
    <row r="64" spans="1:3">
      <c r="A64">
        <v>49</v>
      </c>
      <c r="B64" s="73">
        <f t="shared" si="2"/>
        <v>7.4465830709243388E-4</v>
      </c>
      <c r="C64" s="73">
        <f t="shared" si="3"/>
        <v>0.99255341692907562</v>
      </c>
    </row>
    <row r="65" spans="1:3">
      <c r="A65">
        <v>50</v>
      </c>
      <c r="B65" s="73">
        <f t="shared" si="2"/>
        <v>6.7379469990854672E-4</v>
      </c>
      <c r="C65" s="73">
        <f t="shared" si="3"/>
        <v>0.99326205300091452</v>
      </c>
    </row>
    <row r="66" spans="1:3">
      <c r="A66">
        <v>51</v>
      </c>
      <c r="B66" s="73">
        <f t="shared" si="2"/>
        <v>6.0967465655156327E-4</v>
      </c>
      <c r="C66" s="73">
        <f t="shared" si="3"/>
        <v>0.99390325343448438</v>
      </c>
    </row>
    <row r="67" spans="1:3">
      <c r="A67">
        <v>52</v>
      </c>
      <c r="B67" s="73">
        <f t="shared" si="2"/>
        <v>5.5165644207607722E-4</v>
      </c>
      <c r="C67" s="73">
        <f t="shared" si="3"/>
        <v>0.99448343557923924</v>
      </c>
    </row>
    <row r="68" spans="1:3">
      <c r="A68">
        <v>53</v>
      </c>
      <c r="B68" s="73">
        <f t="shared" si="2"/>
        <v>4.9915939069102131E-4</v>
      </c>
      <c r="C68" s="73">
        <f t="shared" si="3"/>
        <v>0.99500840609308983</v>
      </c>
    </row>
    <row r="69" spans="1:3">
      <c r="A69">
        <v>54</v>
      </c>
      <c r="B69" s="73">
        <f t="shared" si="2"/>
        <v>4.5165809426126662E-4</v>
      </c>
      <c r="C69" s="73">
        <f t="shared" si="3"/>
        <v>0.99548341905738735</v>
      </c>
    </row>
    <row r="70" spans="1:3">
      <c r="A70">
        <v>55</v>
      </c>
      <c r="B70" s="73">
        <f t="shared" si="2"/>
        <v>4.0867714384640666E-4</v>
      </c>
      <c r="C70" s="73">
        <f t="shared" si="3"/>
        <v>0.99591322856153597</v>
      </c>
    </row>
    <row r="71" spans="1:3">
      <c r="A71">
        <v>56</v>
      </c>
      <c r="B71" s="73">
        <f t="shared" si="2"/>
        <v>3.6978637164829291E-4</v>
      </c>
      <c r="C71" s="73">
        <f t="shared" si="3"/>
        <v>0.99630213628351705</v>
      </c>
    </row>
    <row r="72" spans="1:3">
      <c r="A72">
        <v>57</v>
      </c>
      <c r="B72" s="73">
        <f t="shared" si="2"/>
        <v>3.3459654574712722E-4</v>
      </c>
      <c r="C72" s="73">
        <f t="shared" si="3"/>
        <v>0.99665403454252877</v>
      </c>
    </row>
    <row r="73" spans="1:3">
      <c r="A73">
        <v>58</v>
      </c>
      <c r="B73" s="73">
        <f t="shared" si="2"/>
        <v>3.0275547453758131E-4</v>
      </c>
      <c r="C73" s="73">
        <f t="shared" si="3"/>
        <v>0.99697244525462414</v>
      </c>
    </row>
    <row r="74" spans="1:3">
      <c r="A74">
        <v>59</v>
      </c>
      <c r="B74" s="73">
        <f t="shared" si="2"/>
        <v>2.7394448187683686E-4</v>
      </c>
      <c r="C74" s="73">
        <f t="shared" si="3"/>
        <v>0.99726055518123158</v>
      </c>
    </row>
    <row r="75" spans="1:3">
      <c r="A75">
        <v>60</v>
      </c>
      <c r="B75" s="73">
        <f t="shared" si="2"/>
        <v>2.4787521766663585E-4</v>
      </c>
      <c r="C75" s="73">
        <f t="shared" si="3"/>
        <v>0.99752124782333362</v>
      </c>
    </row>
    <row r="76" spans="1:3">
      <c r="A76">
        <v>61</v>
      </c>
      <c r="B76" s="73">
        <f t="shared" si="2"/>
        <v>2.2428677194858012E-4</v>
      </c>
      <c r="C76" s="73">
        <f t="shared" si="3"/>
        <v>0.99775713228051421</v>
      </c>
    </row>
    <row r="77" spans="1:3">
      <c r="A77">
        <v>62</v>
      </c>
      <c r="B77" s="73">
        <f t="shared" si="2"/>
        <v>2.0294306362957342E-4</v>
      </c>
      <c r="C77" s="73">
        <f t="shared" si="3"/>
        <v>0.99797056936370432</v>
      </c>
    </row>
    <row r="78" spans="1:3">
      <c r="A78">
        <v>63</v>
      </c>
      <c r="B78" s="73">
        <f t="shared" si="2"/>
        <v>1.8363047770289057E-4</v>
      </c>
      <c r="C78" s="73">
        <f t="shared" si="3"/>
        <v>0.9981636952229711</v>
      </c>
    </row>
    <row r="79" spans="1:3">
      <c r="A79">
        <v>64</v>
      </c>
      <c r="B79" s="73">
        <f t="shared" ref="B79:B110" si="4">_xlfn.EXPON.DIST($C$5+A79,$C$6,FALSE)</f>
        <v>1.661557273173934E-4</v>
      </c>
      <c r="C79" s="73">
        <f t="shared" ref="C79:C115" si="5">_xlfn.EXPON.DIST($C$5+A79,$C$6,TRUE)</f>
        <v>0.99833844272682604</v>
      </c>
    </row>
    <row r="80" spans="1:3">
      <c r="A80">
        <v>65</v>
      </c>
      <c r="B80" s="73">
        <f t="shared" si="4"/>
        <v>1.5034391929775724E-4</v>
      </c>
      <c r="C80" s="73">
        <f t="shared" si="5"/>
        <v>0.99849656080702243</v>
      </c>
    </row>
    <row r="81" spans="1:3">
      <c r="A81">
        <v>66</v>
      </c>
      <c r="B81" s="73">
        <f t="shared" si="4"/>
        <v>1.3603680375478928E-4</v>
      </c>
      <c r="C81" s="73">
        <f t="shared" si="5"/>
        <v>0.99863963196245209</v>
      </c>
    </row>
    <row r="82" spans="1:3">
      <c r="A82">
        <v>67</v>
      </c>
      <c r="B82" s="73">
        <f t="shared" si="4"/>
        <v>1.2309119026734811E-4</v>
      </c>
      <c r="C82" s="73">
        <f t="shared" si="5"/>
        <v>0.99876908809732656</v>
      </c>
    </row>
    <row r="83" spans="1:3">
      <c r="A83">
        <v>68</v>
      </c>
      <c r="B83" s="73">
        <f t="shared" si="4"/>
        <v>1.1137751478448025E-4</v>
      </c>
      <c r="C83" s="73">
        <f t="shared" si="5"/>
        <v>0.99888622485215517</v>
      </c>
    </row>
    <row r="84" spans="1:3">
      <c r="A84">
        <v>69</v>
      </c>
      <c r="B84" s="73">
        <f t="shared" si="4"/>
        <v>1.0077854290485106E-4</v>
      </c>
      <c r="C84" s="73">
        <f t="shared" si="5"/>
        <v>0.99899221457095144</v>
      </c>
    </row>
    <row r="85" spans="1:3">
      <c r="A85">
        <v>70</v>
      </c>
      <c r="B85" s="73">
        <f t="shared" si="4"/>
        <v>9.1188196555451624E-5</v>
      </c>
      <c r="C85" s="73">
        <f t="shared" si="5"/>
        <v>0.99908811803444553</v>
      </c>
    </row>
    <row r="86" spans="1:3">
      <c r="A86">
        <v>71</v>
      </c>
      <c r="B86" s="73">
        <f t="shared" si="4"/>
        <v>8.2510492326590392E-5</v>
      </c>
      <c r="C86" s="73">
        <f t="shared" si="5"/>
        <v>0.99917489507673407</v>
      </c>
    </row>
    <row r="87" spans="1:3">
      <c r="A87">
        <v>72</v>
      </c>
      <c r="B87" s="73">
        <f t="shared" si="4"/>
        <v>7.4658580837667923E-5</v>
      </c>
      <c r="C87" s="73">
        <f t="shared" si="5"/>
        <v>0.99925341419162328</v>
      </c>
    </row>
    <row r="88" spans="1:3">
      <c r="A88">
        <v>73</v>
      </c>
      <c r="B88" s="73">
        <f t="shared" si="4"/>
        <v>6.7553877519384382E-5</v>
      </c>
      <c r="C88" s="73">
        <f t="shared" si="5"/>
        <v>0.99932446122480612</v>
      </c>
    </row>
    <row r="89" spans="1:3">
      <c r="A89">
        <v>74</v>
      </c>
      <c r="B89" s="73">
        <f t="shared" si="4"/>
        <v>6.1125276112957227E-5</v>
      </c>
      <c r="C89" s="73">
        <f t="shared" si="5"/>
        <v>0.99938874723887039</v>
      </c>
    </row>
    <row r="90" spans="1:3">
      <c r="A90">
        <v>75</v>
      </c>
      <c r="B90" s="73">
        <f t="shared" si="4"/>
        <v>5.5308437014783363E-5</v>
      </c>
      <c r="C90" s="73">
        <f t="shared" si="5"/>
        <v>0.99944691562985222</v>
      </c>
    </row>
    <row r="91" spans="1:3">
      <c r="A91">
        <v>76</v>
      </c>
      <c r="B91" s="73">
        <f t="shared" si="4"/>
        <v>5.004514334406104E-5</v>
      </c>
      <c r="C91" s="73">
        <f t="shared" si="5"/>
        <v>0.99949954856655943</v>
      </c>
    </row>
    <row r="92" spans="1:3">
      <c r="A92">
        <v>77</v>
      </c>
      <c r="B92" s="73">
        <f t="shared" si="4"/>
        <v>4.5282718288679699E-5</v>
      </c>
      <c r="C92" s="73">
        <f t="shared" si="5"/>
        <v>0.99954717281711325</v>
      </c>
    </row>
    <row r="93" spans="1:3">
      <c r="A93">
        <v>78</v>
      </c>
      <c r="B93" s="73">
        <f t="shared" si="4"/>
        <v>4.0973497897978647E-5</v>
      </c>
      <c r="C93" s="73">
        <f t="shared" si="5"/>
        <v>0.99959026502102022</v>
      </c>
    </row>
    <row r="94" spans="1:3">
      <c r="A94">
        <v>79</v>
      </c>
      <c r="B94" s="73">
        <f t="shared" si="4"/>
        <v>3.7074354045908826E-5</v>
      </c>
      <c r="C94" s="73">
        <f t="shared" si="5"/>
        <v>0.99962925645954093</v>
      </c>
    </row>
    <row r="95" spans="1:3">
      <c r="A95">
        <v>80</v>
      </c>
      <c r="B95" s="73">
        <f t="shared" si="4"/>
        <v>3.3546262790251189E-5</v>
      </c>
      <c r="C95" s="73">
        <f t="shared" si="5"/>
        <v>0.99966453737209748</v>
      </c>
    </row>
    <row r="96" spans="1:3">
      <c r="A96">
        <v>81</v>
      </c>
      <c r="B96" s="73">
        <f t="shared" si="4"/>
        <v>3.0353913807886679E-5</v>
      </c>
      <c r="C96" s="73">
        <f t="shared" si="5"/>
        <v>0.9996964608619211</v>
      </c>
    </row>
    <row r="97" spans="1:3">
      <c r="A97">
        <v>82</v>
      </c>
      <c r="B97" s="73">
        <f t="shared" si="4"/>
        <v>2.7465356997214206E-5</v>
      </c>
      <c r="C97" s="73">
        <f t="shared" si="5"/>
        <v>0.99972534643002786</v>
      </c>
    </row>
    <row r="98" spans="1:3">
      <c r="A98">
        <v>83</v>
      </c>
      <c r="B98" s="73">
        <f t="shared" si="4"/>
        <v>2.4851682710795188E-5</v>
      </c>
      <c r="C98" s="73">
        <f t="shared" si="5"/>
        <v>0.99975148317289209</v>
      </c>
    </row>
    <row r="99" spans="1:3">
      <c r="A99">
        <v>84</v>
      </c>
      <c r="B99" s="73">
        <f t="shared" si="4"/>
        <v>2.2486732417884819E-5</v>
      </c>
      <c r="C99" s="73">
        <f t="shared" si="5"/>
        <v>0.99977513267582119</v>
      </c>
    </row>
    <row r="100" spans="1:3">
      <c r="A100">
        <v>85</v>
      </c>
      <c r="B100" s="73">
        <f t="shared" si="4"/>
        <v>2.0346836901064418E-5</v>
      </c>
      <c r="C100" s="73">
        <f t="shared" si="5"/>
        <v>0.99979653163098936</v>
      </c>
    </row>
    <row r="101" spans="1:3">
      <c r="A101">
        <v>86</v>
      </c>
      <c r="B101" s="73">
        <f t="shared" si="4"/>
        <v>1.8410579366757919E-5</v>
      </c>
      <c r="C101" s="73">
        <f t="shared" si="5"/>
        <v>0.99981589420633243</v>
      </c>
    </row>
    <row r="102" spans="1:3">
      <c r="A102">
        <v>87</v>
      </c>
      <c r="B102" s="73">
        <f t="shared" si="4"/>
        <v>1.6658581098763325E-5</v>
      </c>
      <c r="C102" s="73">
        <f t="shared" si="5"/>
        <v>0.99983341418901239</v>
      </c>
    </row>
    <row r="103" spans="1:3">
      <c r="A103">
        <v>88</v>
      </c>
      <c r="B103" s="73">
        <f t="shared" si="4"/>
        <v>1.5073307509547651E-5</v>
      </c>
      <c r="C103" s="73">
        <f t="shared" si="5"/>
        <v>0.9998492669249045</v>
      </c>
    </row>
    <row r="104" spans="1:3">
      <c r="A104">
        <v>89</v>
      </c>
      <c r="B104" s="73">
        <f t="shared" si="4"/>
        <v>1.363889264820114E-5</v>
      </c>
      <c r="C104" s="73">
        <f t="shared" si="5"/>
        <v>0.99986361107351795</v>
      </c>
    </row>
    <row r="105" spans="1:3">
      <c r="A105">
        <v>90</v>
      </c>
      <c r="B105" s="73">
        <f t="shared" si="4"/>
        <v>1.2340980408667957E-5</v>
      </c>
      <c r="C105" s="73">
        <f t="shared" si="5"/>
        <v>0.99987659019591335</v>
      </c>
    </row>
    <row r="106" spans="1:3">
      <c r="A106">
        <v>91</v>
      </c>
      <c r="B106" s="73">
        <f t="shared" si="4"/>
        <v>1.1166580849011478E-5</v>
      </c>
      <c r="C106" s="73">
        <f t="shared" si="5"/>
        <v>0.99988833419150991</v>
      </c>
    </row>
    <row r="107" spans="1:3">
      <c r="A107">
        <v>92</v>
      </c>
      <c r="B107" s="73">
        <f t="shared" si="4"/>
        <v>1.0103940183709325E-5</v>
      </c>
      <c r="C107" s="73">
        <f t="shared" si="5"/>
        <v>0.99989896059816286</v>
      </c>
    </row>
    <row r="108" spans="1:3">
      <c r="A108">
        <v>93</v>
      </c>
      <c r="B108" s="73">
        <f t="shared" si="4"/>
        <v>9.1424231478173276E-6</v>
      </c>
      <c r="C108" s="73">
        <f t="shared" si="5"/>
        <v>0.99990857576852188</v>
      </c>
    </row>
    <row r="109" spans="1:3">
      <c r="A109">
        <v>94</v>
      </c>
      <c r="B109" s="73">
        <f t="shared" si="4"/>
        <v>8.2724065556632225E-6</v>
      </c>
      <c r="C109" s="73">
        <f t="shared" si="5"/>
        <v>0.99991727593444335</v>
      </c>
    </row>
    <row r="110" spans="1:3">
      <c r="A110">
        <v>95</v>
      </c>
      <c r="B110" s="73">
        <f t="shared" si="4"/>
        <v>7.4851829887700601E-6</v>
      </c>
      <c r="C110" s="73">
        <f t="shared" si="5"/>
        <v>0.99992514817011235</v>
      </c>
    </row>
    <row r="111" spans="1:3">
      <c r="A111">
        <v>96</v>
      </c>
      <c r="B111" s="73">
        <f t="shared" ref="B111:B115" si="6">_xlfn.EXPON.DIST($C$5+A111,$C$6,FALSE)</f>
        <v>6.772873649085378E-6</v>
      </c>
      <c r="C111" s="73">
        <f t="shared" si="5"/>
        <v>0.99993227126350914</v>
      </c>
    </row>
    <row r="112" spans="1:3">
      <c r="A112">
        <v>97</v>
      </c>
      <c r="B112" s="73">
        <f t="shared" si="6"/>
        <v>6.1283495053222026E-6</v>
      </c>
      <c r="C112" s="73">
        <f t="shared" si="5"/>
        <v>0.99993871650494681</v>
      </c>
    </row>
    <row r="113" spans="1:3">
      <c r="A113">
        <v>98</v>
      </c>
      <c r="B113" s="73">
        <f t="shared" si="6"/>
        <v>5.545159943217695E-6</v>
      </c>
      <c r="C113" s="73">
        <f t="shared" si="5"/>
        <v>0.99994454840056779</v>
      </c>
    </row>
    <row r="114" spans="1:3">
      <c r="A114">
        <v>99</v>
      </c>
      <c r="B114" s="73">
        <f t="shared" si="6"/>
        <v>5.0174682056175289E-6</v>
      </c>
      <c r="C114" s="73">
        <f t="shared" si="5"/>
        <v>0.99994982531794385</v>
      </c>
    </row>
    <row r="115" spans="1:3">
      <c r="A115">
        <v>100</v>
      </c>
      <c r="B115" s="73">
        <f t="shared" si="6"/>
        <v>4.5399929762484852E-6</v>
      </c>
      <c r="C115" s="73">
        <f t="shared" si="5"/>
        <v>0.99995460007023751</v>
      </c>
    </row>
    <row r="116" spans="1:3">
      <c r="B116" s="73"/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82B9-FDB7-4C22-8B8D-BD67552AD570}">
  <sheetPr codeName="Sheet14"/>
  <dimension ref="A1:F116"/>
  <sheetViews>
    <sheetView zoomScale="106" zoomScaleNormal="106" workbookViewId="0">
      <selection activeCell="B11" sqref="B11:C11"/>
    </sheetView>
  </sheetViews>
  <sheetFormatPr defaultRowHeight="18.75"/>
  <cols>
    <col min="1" max="4" width="15.625" customWidth="1"/>
    <col min="5" max="5" width="29" bestFit="1" customWidth="1"/>
  </cols>
  <sheetData>
    <row r="1" spans="1:6">
      <c r="A1" s="88" t="s">
        <v>111</v>
      </c>
      <c r="B1" s="132" t="s">
        <v>122</v>
      </c>
      <c r="C1" s="132"/>
      <c r="F1" t="s">
        <v>71</v>
      </c>
    </row>
    <row r="2" spans="1:6">
      <c r="A2" s="88" t="s">
        <v>112</v>
      </c>
      <c r="B2" s="89" t="s">
        <v>123</v>
      </c>
      <c r="C2" s="90"/>
      <c r="D2" s="91"/>
    </row>
    <row r="3" spans="1:6">
      <c r="A3" s="88" t="s">
        <v>113</v>
      </c>
      <c r="B3" s="93"/>
      <c r="C3" s="94"/>
      <c r="D3" s="70"/>
    </row>
    <row r="4" spans="1:6" ht="19.5" thickBot="1">
      <c r="A4" s="92" t="s">
        <v>60</v>
      </c>
      <c r="B4" s="95" t="s">
        <v>112</v>
      </c>
      <c r="C4" s="102" t="s">
        <v>61</v>
      </c>
      <c r="D4" s="95"/>
      <c r="E4" s="95" t="s">
        <v>59</v>
      </c>
    </row>
    <row r="5" spans="1:6">
      <c r="A5" s="92">
        <v>1</v>
      </c>
      <c r="B5" s="100" t="s">
        <v>103</v>
      </c>
      <c r="C5" s="103">
        <v>0</v>
      </c>
      <c r="D5" s="101" t="s">
        <v>76</v>
      </c>
      <c r="E5" s="96" t="s">
        <v>106</v>
      </c>
    </row>
    <row r="6" spans="1:6">
      <c r="A6" s="92">
        <v>2</v>
      </c>
      <c r="B6" s="100" t="s">
        <v>117</v>
      </c>
      <c r="C6" s="104">
        <v>1</v>
      </c>
      <c r="D6" s="101"/>
      <c r="E6" s="97" t="s">
        <v>120</v>
      </c>
    </row>
    <row r="7" spans="1:6">
      <c r="A7" s="92">
        <v>3</v>
      </c>
      <c r="B7" s="100" t="s">
        <v>118</v>
      </c>
      <c r="C7" s="107">
        <v>10</v>
      </c>
      <c r="D7" s="101" t="s">
        <v>119</v>
      </c>
      <c r="E7" s="98" t="s">
        <v>121</v>
      </c>
    </row>
    <row r="8" spans="1:6">
      <c r="A8" s="92"/>
      <c r="B8" s="100" t="s">
        <v>126</v>
      </c>
      <c r="C8" s="104"/>
      <c r="D8" s="101"/>
      <c r="E8" s="98"/>
    </row>
    <row r="9" spans="1:6" ht="19.5" thickBot="1">
      <c r="A9" s="92"/>
      <c r="B9" s="108"/>
      <c r="C9" s="106"/>
      <c r="D9" s="101"/>
      <c r="E9" s="99"/>
    </row>
    <row r="10" spans="1:6">
      <c r="A10" s="92" t="s">
        <v>65</v>
      </c>
      <c r="B10" s="133">
        <f>C6*C7</f>
        <v>10</v>
      </c>
      <c r="C10" s="134"/>
      <c r="D10" s="101" t="s">
        <v>124</v>
      </c>
      <c r="E10" s="99"/>
    </row>
    <row r="11" spans="1:6" ht="19.5" thickBot="1">
      <c r="A11" s="92" t="s">
        <v>69</v>
      </c>
      <c r="B11" s="135">
        <f>C6*(C7^2)</f>
        <v>100</v>
      </c>
      <c r="C11" s="136"/>
      <c r="D11" s="101" t="s">
        <v>125</v>
      </c>
      <c r="E11" s="95"/>
    </row>
    <row r="12" spans="1:6">
      <c r="B12" s="67"/>
      <c r="C12" s="67"/>
    </row>
    <row r="13" spans="1:6">
      <c r="A13" t="s">
        <v>42</v>
      </c>
      <c r="B13" s="86" t="s">
        <v>70</v>
      </c>
      <c r="C13" t="s">
        <v>71</v>
      </c>
    </row>
    <row r="14" spans="1:6">
      <c r="B14" s="86"/>
      <c r="C14">
        <v>0</v>
      </c>
      <c r="F14" t="s">
        <v>70</v>
      </c>
    </row>
    <row r="15" spans="1:6">
      <c r="A15">
        <v>0</v>
      </c>
      <c r="B15" s="73" t="e">
        <f>_xlfn.GAMMA.DIST($C$5+A15,$C$6,$C$7,FALSE)</f>
        <v>#NUM!</v>
      </c>
      <c r="C15" s="73">
        <f t="shared" ref="C15:C46" si="0">_xlfn.GAMMA.DIST($C$5+A15,$C$6,$C$7,TRUE)</f>
        <v>0</v>
      </c>
    </row>
    <row r="16" spans="1:6">
      <c r="A16">
        <v>1</v>
      </c>
      <c r="B16" s="73">
        <f>_xlfn.GAMMA.DIST($C$5+A16,$C$6,$C$7,FALSE)</f>
        <v>9.0483741803595974E-2</v>
      </c>
      <c r="C16" s="73">
        <f t="shared" si="0"/>
        <v>9.5162581964040427E-2</v>
      </c>
    </row>
    <row r="17" spans="1:3">
      <c r="A17">
        <v>2</v>
      </c>
      <c r="B17" s="73">
        <f>_xlfn.GAMMA.DIST($C$5+A17,$C$6,$C$7,FALSE)</f>
        <v>8.1873075307798193E-2</v>
      </c>
      <c r="C17" s="73">
        <f t="shared" si="0"/>
        <v>0.18126924692201815</v>
      </c>
    </row>
    <row r="18" spans="1:3">
      <c r="A18">
        <v>3</v>
      </c>
      <c r="B18" s="73">
        <f t="shared" ref="B18:B46" si="1">_xlfn.GAMMA.DIST($C$5+A18,$C$6,$C$7,FALSE)</f>
        <v>7.4081822068171765E-2</v>
      </c>
      <c r="C18" s="73">
        <f t="shared" si="0"/>
        <v>0.25918177931828212</v>
      </c>
    </row>
    <row r="19" spans="1:3">
      <c r="A19">
        <v>4</v>
      </c>
      <c r="B19" s="73">
        <f t="shared" si="1"/>
        <v>6.7032004603563927E-2</v>
      </c>
      <c r="C19" s="73">
        <f t="shared" si="0"/>
        <v>0.32967995396436073</v>
      </c>
    </row>
    <row r="20" spans="1:3">
      <c r="A20">
        <v>5</v>
      </c>
      <c r="B20" s="73">
        <f t="shared" si="1"/>
        <v>6.0653065971263347E-2</v>
      </c>
      <c r="C20" s="73">
        <f t="shared" si="0"/>
        <v>0.39346934028736658</v>
      </c>
    </row>
    <row r="21" spans="1:3">
      <c r="A21">
        <v>6</v>
      </c>
      <c r="B21" s="73">
        <f t="shared" si="1"/>
        <v>5.4881163609402636E-2</v>
      </c>
      <c r="C21" s="73">
        <f t="shared" si="0"/>
        <v>0.4511883639059735</v>
      </c>
    </row>
    <row r="22" spans="1:3">
      <c r="A22">
        <v>7</v>
      </c>
      <c r="B22" s="73">
        <f t="shared" si="1"/>
        <v>4.9658530379140947E-2</v>
      </c>
      <c r="C22" s="73">
        <f t="shared" si="0"/>
        <v>0.50341469620859047</v>
      </c>
    </row>
    <row r="23" spans="1:3">
      <c r="A23">
        <v>8</v>
      </c>
      <c r="B23" s="73">
        <f t="shared" si="1"/>
        <v>4.4932896411722156E-2</v>
      </c>
      <c r="C23" s="73">
        <f t="shared" si="0"/>
        <v>0.55067103588277844</v>
      </c>
    </row>
    <row r="24" spans="1:3">
      <c r="A24">
        <v>9</v>
      </c>
      <c r="B24" s="73">
        <f t="shared" si="1"/>
        <v>4.0656965974059912E-2</v>
      </c>
      <c r="C24" s="73">
        <f t="shared" si="0"/>
        <v>0.59343034025940089</v>
      </c>
    </row>
    <row r="25" spans="1:3">
      <c r="A25">
        <v>10</v>
      </c>
      <c r="B25" s="73">
        <f t="shared" si="1"/>
        <v>3.6787944117144235E-2</v>
      </c>
      <c r="C25" s="73">
        <f t="shared" si="0"/>
        <v>0.63212055882855767</v>
      </c>
    </row>
    <row r="26" spans="1:3">
      <c r="A26">
        <v>11</v>
      </c>
      <c r="B26" s="73">
        <f t="shared" si="1"/>
        <v>3.3287108369807958E-2</v>
      </c>
      <c r="C26" s="73">
        <f t="shared" si="0"/>
        <v>0.6671289163019205</v>
      </c>
    </row>
    <row r="27" spans="1:3">
      <c r="A27">
        <v>12</v>
      </c>
      <c r="B27" s="73">
        <f t="shared" si="1"/>
        <v>3.0119421191220207E-2</v>
      </c>
      <c r="C27" s="73">
        <f t="shared" si="0"/>
        <v>0.69880578808779781</v>
      </c>
    </row>
    <row r="28" spans="1:3">
      <c r="A28">
        <v>13</v>
      </c>
      <c r="B28" s="73">
        <f t="shared" si="1"/>
        <v>2.7253179303401261E-2</v>
      </c>
      <c r="C28" s="73">
        <f t="shared" si="0"/>
        <v>0.72746820696598746</v>
      </c>
    </row>
    <row r="29" spans="1:3">
      <c r="A29">
        <v>14</v>
      </c>
      <c r="B29" s="73">
        <f t="shared" si="1"/>
        <v>2.4659696394160647E-2</v>
      </c>
      <c r="C29" s="73">
        <f t="shared" si="0"/>
        <v>0.75340303605839354</v>
      </c>
    </row>
    <row r="30" spans="1:3">
      <c r="A30">
        <v>15</v>
      </c>
      <c r="B30" s="73">
        <f t="shared" si="1"/>
        <v>2.2313016014842982E-2</v>
      </c>
      <c r="C30" s="73">
        <f t="shared" si="0"/>
        <v>0.77686983985157021</v>
      </c>
    </row>
    <row r="31" spans="1:3">
      <c r="A31">
        <v>16</v>
      </c>
      <c r="B31" s="73">
        <f t="shared" si="1"/>
        <v>2.0189651799465542E-2</v>
      </c>
      <c r="C31" s="73">
        <f t="shared" si="0"/>
        <v>0.79810348200534464</v>
      </c>
    </row>
    <row r="32" spans="1:3">
      <c r="A32">
        <v>17</v>
      </c>
      <c r="B32" s="73">
        <f t="shared" si="1"/>
        <v>1.8268352405273462E-2</v>
      </c>
      <c r="C32" s="73">
        <f t="shared" si="0"/>
        <v>0.81731647594726531</v>
      </c>
    </row>
    <row r="33" spans="1:3">
      <c r="A33">
        <v>18</v>
      </c>
      <c r="B33" s="73">
        <f t="shared" si="1"/>
        <v>1.6529888822158653E-2</v>
      </c>
      <c r="C33" s="73">
        <f t="shared" si="0"/>
        <v>0.83470111177841344</v>
      </c>
    </row>
    <row r="34" spans="1:3">
      <c r="A34">
        <v>19</v>
      </c>
      <c r="B34" s="73">
        <f t="shared" si="1"/>
        <v>1.4956861922263504E-2</v>
      </c>
      <c r="C34" s="73">
        <f t="shared" si="0"/>
        <v>0.85043138077736491</v>
      </c>
    </row>
    <row r="35" spans="1:3">
      <c r="A35">
        <v>20</v>
      </c>
      <c r="B35" s="73">
        <f t="shared" si="1"/>
        <v>1.3533528323661267E-2</v>
      </c>
      <c r="C35" s="73">
        <f t="shared" si="0"/>
        <v>0.8646647167633873</v>
      </c>
    </row>
    <row r="36" spans="1:3">
      <c r="A36">
        <v>21</v>
      </c>
      <c r="B36" s="73">
        <f t="shared" si="1"/>
        <v>1.224564282529819E-2</v>
      </c>
      <c r="C36" s="73">
        <f t="shared" si="0"/>
        <v>0.87754357174701814</v>
      </c>
    </row>
    <row r="37" spans="1:3">
      <c r="A37">
        <v>22</v>
      </c>
      <c r="B37" s="73">
        <f t="shared" si="1"/>
        <v>1.1080315836233387E-2</v>
      </c>
      <c r="C37" s="73">
        <f t="shared" si="0"/>
        <v>0.8891968416376661</v>
      </c>
    </row>
    <row r="38" spans="1:3">
      <c r="A38">
        <v>23</v>
      </c>
      <c r="B38" s="73">
        <f t="shared" si="1"/>
        <v>1.0025884372280372E-2</v>
      </c>
      <c r="C38" s="73">
        <f t="shared" si="0"/>
        <v>0.8997411562771962</v>
      </c>
    </row>
    <row r="39" spans="1:3">
      <c r="A39">
        <v>24</v>
      </c>
      <c r="B39" s="73">
        <f t="shared" si="1"/>
        <v>9.0717953289412498E-3</v>
      </c>
      <c r="C39" s="73">
        <f t="shared" si="0"/>
        <v>0.90928204671058754</v>
      </c>
    </row>
    <row r="40" spans="1:3">
      <c r="A40">
        <v>25</v>
      </c>
      <c r="B40" s="73">
        <f t="shared" si="1"/>
        <v>8.2084998623898793E-3</v>
      </c>
      <c r="C40" s="73">
        <f t="shared" si="0"/>
        <v>0.91791500137610116</v>
      </c>
    </row>
    <row r="41" spans="1:3">
      <c r="A41">
        <v>26</v>
      </c>
      <c r="B41" s="73">
        <f t="shared" si="1"/>
        <v>7.4273578214333873E-3</v>
      </c>
      <c r="C41" s="73">
        <f t="shared" si="0"/>
        <v>0.92572642178566611</v>
      </c>
    </row>
    <row r="42" spans="1:3">
      <c r="A42">
        <v>27</v>
      </c>
      <c r="B42" s="73">
        <f t="shared" si="1"/>
        <v>6.7205512739749755E-3</v>
      </c>
      <c r="C42" s="73">
        <f t="shared" si="0"/>
        <v>0.93279448726025027</v>
      </c>
    </row>
    <row r="43" spans="1:3">
      <c r="A43">
        <v>28</v>
      </c>
      <c r="B43" s="73">
        <f t="shared" si="1"/>
        <v>6.0810062625217967E-3</v>
      </c>
      <c r="C43" s="73">
        <f t="shared" si="0"/>
        <v>0.93918993737478207</v>
      </c>
    </row>
    <row r="44" spans="1:3">
      <c r="A44">
        <v>29</v>
      </c>
      <c r="B44" s="73">
        <f t="shared" si="1"/>
        <v>5.5023220056407227E-3</v>
      </c>
      <c r="C44" s="73">
        <f t="shared" si="0"/>
        <v>0.94497677994359275</v>
      </c>
    </row>
    <row r="45" spans="1:3">
      <c r="A45">
        <v>30</v>
      </c>
      <c r="B45" s="73">
        <f t="shared" si="1"/>
        <v>4.9787068367863948E-3</v>
      </c>
      <c r="C45" s="73">
        <f t="shared" si="0"/>
        <v>0.95021293163213605</v>
      </c>
    </row>
    <row r="46" spans="1:3">
      <c r="A46">
        <v>31</v>
      </c>
      <c r="B46" s="73">
        <f t="shared" si="1"/>
        <v>4.5049202393557808E-3</v>
      </c>
      <c r="C46" s="73">
        <f t="shared" si="0"/>
        <v>0.95495079760644219</v>
      </c>
    </row>
    <row r="47" spans="1:3">
      <c r="A47">
        <v>32</v>
      </c>
      <c r="B47" s="73">
        <f t="shared" ref="B47:B78" si="2">_xlfn.GAMMA.DIST($C$5+A47,$C$6,$C$7,FALSE)</f>
        <v>4.0762203978366206E-3</v>
      </c>
      <c r="C47" s="73">
        <f t="shared" ref="C47:C78" si="3">_xlfn.GAMMA.DIST($C$5+A47,$C$6,$C$7,TRUE)</f>
        <v>0.95923779602163384</v>
      </c>
    </row>
    <row r="48" spans="1:3">
      <c r="A48">
        <v>33</v>
      </c>
      <c r="B48" s="73">
        <f t="shared" si="2"/>
        <v>3.6883167401240012E-3</v>
      </c>
      <c r="C48" s="73">
        <f t="shared" si="3"/>
        <v>0.96311683259876002</v>
      </c>
    </row>
    <row r="49" spans="1:3">
      <c r="A49">
        <v>34</v>
      </c>
      <c r="B49" s="73">
        <f t="shared" si="2"/>
        <v>3.3373269960326078E-3</v>
      </c>
      <c r="C49" s="73">
        <f t="shared" si="3"/>
        <v>0.96662673003967392</v>
      </c>
    </row>
    <row r="50" spans="1:3">
      <c r="A50">
        <v>35</v>
      </c>
      <c r="B50" s="73">
        <f t="shared" si="2"/>
        <v>3.0197383422318502E-3</v>
      </c>
      <c r="C50" s="73">
        <f t="shared" si="3"/>
        <v>0.96980261657768152</v>
      </c>
    </row>
    <row r="51" spans="1:3">
      <c r="A51">
        <v>36</v>
      </c>
      <c r="B51" s="73">
        <f t="shared" si="2"/>
        <v>2.7323722447292549E-3</v>
      </c>
      <c r="C51" s="73">
        <f t="shared" si="3"/>
        <v>0.97267627755270747</v>
      </c>
    </row>
    <row r="52" spans="1:3">
      <c r="A52">
        <v>37</v>
      </c>
      <c r="B52" s="73">
        <f t="shared" si="2"/>
        <v>2.4723526470339392E-3</v>
      </c>
      <c r="C52" s="73">
        <f t="shared" si="3"/>
        <v>0.97527647352966063</v>
      </c>
    </row>
    <row r="53" spans="1:3">
      <c r="A53">
        <v>38</v>
      </c>
      <c r="B53" s="73">
        <f t="shared" si="2"/>
        <v>2.2370771856165595E-3</v>
      </c>
      <c r="C53" s="73">
        <f t="shared" si="3"/>
        <v>0.97762922814383435</v>
      </c>
    </row>
    <row r="54" spans="1:3">
      <c r="A54">
        <v>39</v>
      </c>
      <c r="B54" s="73">
        <f t="shared" si="2"/>
        <v>2.0241911445804386E-3</v>
      </c>
      <c r="C54" s="73">
        <f t="shared" si="3"/>
        <v>0.97975808855419566</v>
      </c>
    </row>
    <row r="55" spans="1:3">
      <c r="A55">
        <v>40</v>
      </c>
      <c r="B55" s="73">
        <f t="shared" si="2"/>
        <v>1.831563888873418E-3</v>
      </c>
      <c r="C55" s="73">
        <f t="shared" si="3"/>
        <v>0.98168436111126578</v>
      </c>
    </row>
    <row r="56" spans="1:3">
      <c r="A56">
        <v>41</v>
      </c>
      <c r="B56" s="73">
        <f t="shared" si="2"/>
        <v>1.6572675401761252E-3</v>
      </c>
      <c r="C56" s="73">
        <f t="shared" si="3"/>
        <v>0.98342732459823878</v>
      </c>
    </row>
    <row r="57" spans="1:3">
      <c r="A57">
        <v>42</v>
      </c>
      <c r="B57" s="73">
        <f t="shared" si="2"/>
        <v>1.4995576820477706E-3</v>
      </c>
      <c r="C57" s="73">
        <f t="shared" si="3"/>
        <v>0.9850044231795223</v>
      </c>
    </row>
    <row r="58" spans="1:3">
      <c r="A58">
        <v>43</v>
      </c>
      <c r="B58" s="73">
        <f t="shared" si="2"/>
        <v>1.3568559012200933E-3</v>
      </c>
      <c r="C58" s="73">
        <f t="shared" si="3"/>
        <v>0.98643144098779911</v>
      </c>
    </row>
    <row r="59" spans="1:3">
      <c r="A59">
        <v>44</v>
      </c>
      <c r="B59" s="73">
        <f t="shared" si="2"/>
        <v>1.2277339903068439E-3</v>
      </c>
      <c r="C59" s="73">
        <f t="shared" si="3"/>
        <v>0.98772266009693155</v>
      </c>
    </row>
    <row r="60" spans="1:3">
      <c r="A60">
        <v>45</v>
      </c>
      <c r="B60" s="73">
        <f t="shared" si="2"/>
        <v>1.1108996538242309E-3</v>
      </c>
      <c r="C60" s="73">
        <f t="shared" si="3"/>
        <v>0.98889100346175773</v>
      </c>
    </row>
    <row r="61" spans="1:3">
      <c r="A61">
        <v>46</v>
      </c>
      <c r="B61" s="73">
        <f t="shared" si="2"/>
        <v>1.0051835744633584E-3</v>
      </c>
      <c r="C61" s="73">
        <f t="shared" si="3"/>
        <v>0.98994816425536647</v>
      </c>
    </row>
    <row r="62" spans="1:3">
      <c r="A62">
        <v>47</v>
      </c>
      <c r="B62" s="73">
        <f t="shared" si="2"/>
        <v>9.095277101695816E-4</v>
      </c>
      <c r="C62" s="73">
        <f t="shared" si="3"/>
        <v>0.99090472289830422</v>
      </c>
    </row>
    <row r="63" spans="1:3">
      <c r="A63">
        <v>48</v>
      </c>
      <c r="B63" s="73">
        <f t="shared" si="2"/>
        <v>8.2297470490200295E-4</v>
      </c>
      <c r="C63" s="73">
        <f t="shared" si="3"/>
        <v>0.99177025295097998</v>
      </c>
    </row>
    <row r="64" spans="1:3">
      <c r="A64">
        <v>49</v>
      </c>
      <c r="B64" s="73">
        <f t="shared" si="2"/>
        <v>7.4465830709243388E-4</v>
      </c>
      <c r="C64" s="73">
        <f t="shared" si="3"/>
        <v>0.99255341692907562</v>
      </c>
    </row>
    <row r="65" spans="1:3">
      <c r="A65">
        <v>50</v>
      </c>
      <c r="B65" s="73">
        <f t="shared" si="2"/>
        <v>6.7379469990854661E-4</v>
      </c>
      <c r="C65" s="73">
        <f t="shared" si="3"/>
        <v>0.99326205300091452</v>
      </c>
    </row>
    <row r="66" spans="1:3">
      <c r="A66">
        <v>51</v>
      </c>
      <c r="B66" s="73">
        <f t="shared" si="2"/>
        <v>6.0967465655156381E-4</v>
      </c>
      <c r="C66" s="73">
        <f t="shared" si="3"/>
        <v>0.99390325343448438</v>
      </c>
    </row>
    <row r="67" spans="1:3">
      <c r="A67">
        <v>52</v>
      </c>
      <c r="B67" s="73">
        <f t="shared" si="2"/>
        <v>5.5165644207607711E-4</v>
      </c>
      <c r="C67" s="73">
        <f t="shared" si="3"/>
        <v>0.99448343557923924</v>
      </c>
    </row>
    <row r="68" spans="1:3">
      <c r="A68">
        <v>53</v>
      </c>
      <c r="B68" s="73">
        <f t="shared" si="2"/>
        <v>4.9915939069102163E-4</v>
      </c>
      <c r="C68" s="73">
        <f t="shared" si="3"/>
        <v>0.99500840609308983</v>
      </c>
    </row>
    <row r="69" spans="1:3">
      <c r="A69">
        <v>54</v>
      </c>
      <c r="B69" s="73">
        <f t="shared" si="2"/>
        <v>4.5165809426126667E-4</v>
      </c>
      <c r="C69" s="73">
        <f t="shared" si="3"/>
        <v>0.99548341905738735</v>
      </c>
    </row>
    <row r="70" spans="1:3">
      <c r="A70">
        <v>55</v>
      </c>
      <c r="B70" s="73">
        <f t="shared" si="2"/>
        <v>4.0867714384640671E-4</v>
      </c>
      <c r="C70" s="73">
        <f t="shared" si="3"/>
        <v>0.99591322856153597</v>
      </c>
    </row>
    <row r="71" spans="1:3">
      <c r="A71">
        <v>56</v>
      </c>
      <c r="B71" s="73">
        <f t="shared" si="2"/>
        <v>3.6978637164829318E-4</v>
      </c>
      <c r="C71" s="73">
        <f t="shared" si="3"/>
        <v>0.99630213628351705</v>
      </c>
    </row>
    <row r="72" spans="1:3">
      <c r="A72">
        <v>57</v>
      </c>
      <c r="B72" s="73">
        <f t="shared" si="2"/>
        <v>3.3459654574712722E-4</v>
      </c>
      <c r="C72" s="73">
        <f t="shared" si="3"/>
        <v>0.99665403454252877</v>
      </c>
    </row>
    <row r="73" spans="1:3">
      <c r="A73">
        <v>58</v>
      </c>
      <c r="B73" s="73">
        <f t="shared" si="2"/>
        <v>3.0275547453758158E-4</v>
      </c>
      <c r="C73" s="73">
        <f t="shared" si="3"/>
        <v>0.99697244525462414</v>
      </c>
    </row>
    <row r="74" spans="1:3">
      <c r="A74">
        <v>59</v>
      </c>
      <c r="B74" s="73">
        <f t="shared" si="2"/>
        <v>2.7394448187683681E-4</v>
      </c>
      <c r="C74" s="73">
        <f t="shared" si="3"/>
        <v>0.99726055518123158</v>
      </c>
    </row>
    <row r="75" spans="1:3">
      <c r="A75">
        <v>60</v>
      </c>
      <c r="B75" s="73">
        <f t="shared" si="2"/>
        <v>2.4787521766663585E-4</v>
      </c>
      <c r="C75" s="73">
        <f t="shared" si="3"/>
        <v>0.99752124782333362</v>
      </c>
    </row>
    <row r="76" spans="1:3">
      <c r="A76">
        <v>61</v>
      </c>
      <c r="B76" s="73">
        <f t="shared" si="2"/>
        <v>2.2428677194858031E-4</v>
      </c>
      <c r="C76" s="73">
        <f t="shared" si="3"/>
        <v>0.99775713228051421</v>
      </c>
    </row>
    <row r="77" spans="1:3">
      <c r="A77">
        <v>62</v>
      </c>
      <c r="B77" s="73">
        <f t="shared" si="2"/>
        <v>2.0294306362957345E-4</v>
      </c>
      <c r="C77" s="73">
        <f t="shared" si="3"/>
        <v>0.99797056936370432</v>
      </c>
    </row>
    <row r="78" spans="1:3">
      <c r="A78">
        <v>63</v>
      </c>
      <c r="B78" s="73">
        <f t="shared" si="2"/>
        <v>1.8363047770289067E-4</v>
      </c>
      <c r="C78" s="73">
        <f t="shared" si="3"/>
        <v>0.9981636952229711</v>
      </c>
    </row>
    <row r="79" spans="1:3">
      <c r="A79">
        <v>64</v>
      </c>
      <c r="B79" s="73">
        <f t="shared" ref="B79:B110" si="4">_xlfn.GAMMA.DIST($C$5+A79,$C$6,$C$7,FALSE)</f>
        <v>1.661557273173934E-4</v>
      </c>
      <c r="C79" s="73">
        <f t="shared" ref="C79:C115" si="5">_xlfn.GAMMA.DIST($C$5+A79,$C$6,$C$7,TRUE)</f>
        <v>0.99833844272682604</v>
      </c>
    </row>
    <row r="80" spans="1:3">
      <c r="A80">
        <v>65</v>
      </c>
      <c r="B80" s="73">
        <f t="shared" si="4"/>
        <v>1.5034391929775724E-4</v>
      </c>
      <c r="C80" s="73">
        <f t="shared" si="5"/>
        <v>0.99849656080702243</v>
      </c>
    </row>
    <row r="81" spans="1:3">
      <c r="A81">
        <v>66</v>
      </c>
      <c r="B81" s="73">
        <f t="shared" si="4"/>
        <v>1.3603680375478939E-4</v>
      </c>
      <c r="C81" s="73">
        <f t="shared" si="5"/>
        <v>0.99863963196245209</v>
      </c>
    </row>
    <row r="82" spans="1:3">
      <c r="A82">
        <v>67</v>
      </c>
      <c r="B82" s="73">
        <f t="shared" si="4"/>
        <v>1.2309119026734811E-4</v>
      </c>
      <c r="C82" s="73">
        <f t="shared" si="5"/>
        <v>0.99876908809732656</v>
      </c>
    </row>
    <row r="83" spans="1:3">
      <c r="A83">
        <v>68</v>
      </c>
      <c r="B83" s="73">
        <f t="shared" si="4"/>
        <v>1.1137751478448033E-4</v>
      </c>
      <c r="C83" s="73">
        <f t="shared" si="5"/>
        <v>0.99888622485215517</v>
      </c>
    </row>
    <row r="84" spans="1:3">
      <c r="A84">
        <v>69</v>
      </c>
      <c r="B84" s="73">
        <f t="shared" si="4"/>
        <v>1.0077854290485104E-4</v>
      </c>
      <c r="C84" s="73">
        <f t="shared" si="5"/>
        <v>0.99899221457095144</v>
      </c>
    </row>
    <row r="85" spans="1:3">
      <c r="A85">
        <v>70</v>
      </c>
      <c r="B85" s="73">
        <f t="shared" si="4"/>
        <v>9.1188196555451611E-5</v>
      </c>
      <c r="C85" s="73">
        <f t="shared" si="5"/>
        <v>0.99908811803444553</v>
      </c>
    </row>
    <row r="86" spans="1:3">
      <c r="A86">
        <v>71</v>
      </c>
      <c r="B86" s="73">
        <f t="shared" si="4"/>
        <v>8.251049232659046E-5</v>
      </c>
      <c r="C86" s="73">
        <f t="shared" si="5"/>
        <v>0.99917489507673407</v>
      </c>
    </row>
    <row r="87" spans="1:3">
      <c r="A87">
        <v>72</v>
      </c>
      <c r="B87" s="73">
        <f t="shared" si="4"/>
        <v>7.4658580837667923E-5</v>
      </c>
      <c r="C87" s="73">
        <f t="shared" si="5"/>
        <v>0.99925341419162328</v>
      </c>
    </row>
    <row r="88" spans="1:3">
      <c r="A88">
        <v>73</v>
      </c>
      <c r="B88" s="73">
        <f t="shared" si="4"/>
        <v>6.7553877519384436E-5</v>
      </c>
      <c r="C88" s="73">
        <f t="shared" si="5"/>
        <v>0.99932446122480612</v>
      </c>
    </row>
    <row r="89" spans="1:3">
      <c r="A89">
        <v>74</v>
      </c>
      <c r="B89" s="73">
        <f t="shared" si="4"/>
        <v>6.1125276112957254E-5</v>
      </c>
      <c r="C89" s="73">
        <f t="shared" si="5"/>
        <v>0.99938874723887039</v>
      </c>
    </row>
    <row r="90" spans="1:3">
      <c r="A90">
        <v>75</v>
      </c>
      <c r="B90" s="73">
        <f t="shared" si="4"/>
        <v>5.5308437014783356E-5</v>
      </c>
      <c r="C90" s="73">
        <f t="shared" si="5"/>
        <v>0.99944691562985222</v>
      </c>
    </row>
    <row r="91" spans="1:3">
      <c r="A91">
        <v>76</v>
      </c>
      <c r="B91" s="73">
        <f t="shared" si="4"/>
        <v>5.0045143344061074E-5</v>
      </c>
      <c r="C91" s="73">
        <f t="shared" si="5"/>
        <v>0.99949954856655943</v>
      </c>
    </row>
    <row r="92" spans="1:3">
      <c r="A92">
        <v>77</v>
      </c>
      <c r="B92" s="73">
        <f t="shared" si="4"/>
        <v>4.5282718288679699E-5</v>
      </c>
      <c r="C92" s="73">
        <f t="shared" si="5"/>
        <v>0.99954717281711325</v>
      </c>
    </row>
    <row r="93" spans="1:3">
      <c r="A93">
        <v>78</v>
      </c>
      <c r="B93" s="73">
        <f t="shared" si="4"/>
        <v>4.0973497897978688E-5</v>
      </c>
      <c r="C93" s="73">
        <f t="shared" si="5"/>
        <v>0.99959026502102022</v>
      </c>
    </row>
    <row r="94" spans="1:3">
      <c r="A94">
        <v>79</v>
      </c>
      <c r="B94" s="73">
        <f t="shared" si="4"/>
        <v>3.7074354045908833E-5</v>
      </c>
      <c r="C94" s="73">
        <f t="shared" si="5"/>
        <v>0.99962925645954093</v>
      </c>
    </row>
    <row r="95" spans="1:3">
      <c r="A95">
        <v>80</v>
      </c>
      <c r="B95" s="73">
        <f t="shared" si="4"/>
        <v>3.3546262790251176E-5</v>
      </c>
      <c r="C95" s="73">
        <f t="shared" si="5"/>
        <v>0.99966453737209748</v>
      </c>
    </row>
    <row r="96" spans="1:3">
      <c r="A96">
        <v>81</v>
      </c>
      <c r="B96" s="73">
        <f t="shared" si="4"/>
        <v>3.0353913807886679E-5</v>
      </c>
      <c r="C96" s="73">
        <f t="shared" si="5"/>
        <v>0.9996964608619211</v>
      </c>
    </row>
    <row r="97" spans="1:3">
      <c r="A97">
        <v>82</v>
      </c>
      <c r="B97" s="73">
        <f t="shared" si="4"/>
        <v>2.7465356997214256E-5</v>
      </c>
      <c r="C97" s="73">
        <f t="shared" si="5"/>
        <v>0.99972534643002786</v>
      </c>
    </row>
    <row r="98" spans="1:3">
      <c r="A98">
        <v>83</v>
      </c>
      <c r="B98" s="73">
        <f t="shared" si="4"/>
        <v>2.4851682710795188E-5</v>
      </c>
      <c r="C98" s="73">
        <f t="shared" si="5"/>
        <v>0.99975148317289209</v>
      </c>
    </row>
    <row r="99" spans="1:3">
      <c r="A99">
        <v>84</v>
      </c>
      <c r="B99" s="73">
        <f t="shared" si="4"/>
        <v>2.2486732417884816E-5</v>
      </c>
      <c r="C99" s="73">
        <f t="shared" si="5"/>
        <v>0.99977513267582119</v>
      </c>
    </row>
    <row r="100" spans="1:3">
      <c r="A100">
        <v>85</v>
      </c>
      <c r="B100" s="73">
        <f t="shared" si="4"/>
        <v>2.0346836901064415E-5</v>
      </c>
      <c r="C100" s="73">
        <f t="shared" si="5"/>
        <v>0.99979653163098936</v>
      </c>
    </row>
    <row r="101" spans="1:3">
      <c r="A101">
        <v>86</v>
      </c>
      <c r="B101" s="73">
        <f t="shared" si="4"/>
        <v>1.8410579366757916E-5</v>
      </c>
      <c r="C101" s="73">
        <f t="shared" si="5"/>
        <v>0.99981589420633243</v>
      </c>
    </row>
    <row r="102" spans="1:3">
      <c r="A102">
        <v>87</v>
      </c>
      <c r="B102" s="73">
        <f t="shared" si="4"/>
        <v>1.6658581098763349E-5</v>
      </c>
      <c r="C102" s="73">
        <f t="shared" si="5"/>
        <v>0.99983341418901239</v>
      </c>
    </row>
    <row r="103" spans="1:3">
      <c r="A103">
        <v>88</v>
      </c>
      <c r="B103" s="73">
        <f t="shared" si="4"/>
        <v>1.5073307509547651E-5</v>
      </c>
      <c r="C103" s="73">
        <f t="shared" si="5"/>
        <v>0.9998492669249045</v>
      </c>
    </row>
    <row r="104" spans="1:3">
      <c r="A104">
        <v>89</v>
      </c>
      <c r="B104" s="73">
        <f t="shared" si="4"/>
        <v>1.363889264820114E-5</v>
      </c>
      <c r="C104" s="73">
        <f t="shared" si="5"/>
        <v>0.99986361107351795</v>
      </c>
    </row>
    <row r="105" spans="1:3">
      <c r="A105">
        <v>90</v>
      </c>
      <c r="B105" s="73">
        <f t="shared" si="4"/>
        <v>1.2340980408667958E-5</v>
      </c>
      <c r="C105" s="73">
        <f t="shared" si="5"/>
        <v>0.99987659019591335</v>
      </c>
    </row>
    <row r="106" spans="1:3">
      <c r="A106">
        <v>91</v>
      </c>
      <c r="B106" s="73">
        <f t="shared" si="4"/>
        <v>1.1166580849011478E-5</v>
      </c>
      <c r="C106" s="73">
        <f t="shared" si="5"/>
        <v>0.99988833419150991</v>
      </c>
    </row>
    <row r="107" spans="1:3">
      <c r="A107">
        <v>92</v>
      </c>
      <c r="B107" s="73">
        <f t="shared" si="4"/>
        <v>1.0103940183709342E-5</v>
      </c>
      <c r="C107" s="73">
        <f t="shared" si="5"/>
        <v>0.99989896059816286</v>
      </c>
    </row>
    <row r="108" spans="1:3">
      <c r="A108">
        <v>93</v>
      </c>
      <c r="B108" s="73">
        <f t="shared" si="4"/>
        <v>9.1424231478173293E-6</v>
      </c>
      <c r="C108" s="73">
        <f t="shared" si="5"/>
        <v>0.99990857576852188</v>
      </c>
    </row>
    <row r="109" spans="1:3">
      <c r="A109">
        <v>94</v>
      </c>
      <c r="B109" s="73">
        <f t="shared" si="4"/>
        <v>8.2724065556632242E-6</v>
      </c>
      <c r="C109" s="73">
        <f t="shared" si="5"/>
        <v>0.99991727593444335</v>
      </c>
    </row>
    <row r="110" spans="1:3">
      <c r="A110">
        <v>95</v>
      </c>
      <c r="B110" s="73">
        <f t="shared" si="4"/>
        <v>7.4851829887700601E-6</v>
      </c>
      <c r="C110" s="73">
        <f t="shared" si="5"/>
        <v>0.99992514817011235</v>
      </c>
    </row>
    <row r="111" spans="1:3">
      <c r="A111">
        <v>96</v>
      </c>
      <c r="B111" s="73">
        <f t="shared" ref="B111:B115" si="6">_xlfn.GAMMA.DIST($C$5+A111,$C$6,$C$7,FALSE)</f>
        <v>6.7728736490853898E-6</v>
      </c>
      <c r="C111" s="73">
        <f t="shared" si="5"/>
        <v>0.99993227126350914</v>
      </c>
    </row>
    <row r="112" spans="1:3">
      <c r="A112">
        <v>97</v>
      </c>
      <c r="B112" s="73">
        <f t="shared" si="6"/>
        <v>6.1283495053222119E-6</v>
      </c>
      <c r="C112" s="73">
        <f t="shared" si="5"/>
        <v>0.99993871650494681</v>
      </c>
    </row>
    <row r="113" spans="1:3">
      <c r="A113">
        <v>98</v>
      </c>
      <c r="B113" s="73">
        <f t="shared" si="6"/>
        <v>5.545159943217695E-6</v>
      </c>
      <c r="C113" s="73">
        <f t="shared" si="5"/>
        <v>0.99994454840056779</v>
      </c>
    </row>
    <row r="114" spans="1:3">
      <c r="A114">
        <v>99</v>
      </c>
      <c r="B114" s="73">
        <f t="shared" si="6"/>
        <v>5.0174682056175298E-6</v>
      </c>
      <c r="C114" s="73">
        <f t="shared" si="5"/>
        <v>0.99994982531794385</v>
      </c>
    </row>
    <row r="115" spans="1:3">
      <c r="A115">
        <v>100</v>
      </c>
      <c r="B115" s="73">
        <f t="shared" si="6"/>
        <v>4.5399929762484861E-6</v>
      </c>
      <c r="C115" s="73">
        <f t="shared" si="5"/>
        <v>0.99995460007023751</v>
      </c>
    </row>
    <row r="116" spans="1:3">
      <c r="B116" s="73"/>
    </row>
  </sheetData>
  <mergeCells count="3">
    <mergeCell ref="B1:C1"/>
    <mergeCell ref="B10:C10"/>
    <mergeCell ref="B11:C1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0BEFC-479D-4C60-BC36-181E7D6CFBE8}">
  <sheetPr codeName="Sheet15"/>
  <dimension ref="A1:F116"/>
  <sheetViews>
    <sheetView zoomScale="106" zoomScaleNormal="106" workbookViewId="0">
      <selection activeCell="C15" sqref="C15"/>
    </sheetView>
  </sheetViews>
  <sheetFormatPr defaultRowHeight="18.75"/>
  <cols>
    <col min="1" max="4" width="15.625" customWidth="1"/>
    <col min="5" max="5" width="29" bestFit="1" customWidth="1"/>
  </cols>
  <sheetData>
    <row r="1" spans="1:6">
      <c r="A1" s="88" t="s">
        <v>111</v>
      </c>
      <c r="B1" s="132" t="s">
        <v>122</v>
      </c>
      <c r="C1" s="132"/>
      <c r="F1" t="s">
        <v>71</v>
      </c>
    </row>
    <row r="2" spans="1:6">
      <c r="A2" s="88" t="s">
        <v>112</v>
      </c>
      <c r="B2" s="89" t="s">
        <v>123</v>
      </c>
      <c r="C2" s="90"/>
      <c r="D2" s="91"/>
    </row>
    <row r="3" spans="1:6">
      <c r="A3" s="88" t="s">
        <v>113</v>
      </c>
      <c r="B3" s="93"/>
      <c r="C3" s="94"/>
      <c r="D3" s="70"/>
    </row>
    <row r="4" spans="1:6" ht="19.5" thickBot="1">
      <c r="A4" s="92" t="s">
        <v>60</v>
      </c>
      <c r="B4" s="95" t="s">
        <v>112</v>
      </c>
      <c r="C4" s="102" t="s">
        <v>61</v>
      </c>
      <c r="D4" s="95"/>
      <c r="E4" s="95" t="s">
        <v>59</v>
      </c>
    </row>
    <row r="5" spans="1:6">
      <c r="A5" s="92">
        <v>1</v>
      </c>
      <c r="B5" s="100" t="s">
        <v>103</v>
      </c>
      <c r="C5" s="103">
        <v>0</v>
      </c>
      <c r="D5" s="101" t="s">
        <v>76</v>
      </c>
      <c r="E5" s="96" t="s">
        <v>106</v>
      </c>
    </row>
    <row r="6" spans="1:6">
      <c r="A6" s="92">
        <v>2</v>
      </c>
      <c r="B6" s="100" t="s">
        <v>117</v>
      </c>
      <c r="C6" s="104">
        <v>2</v>
      </c>
      <c r="D6" s="101"/>
      <c r="E6" s="97" t="s">
        <v>120</v>
      </c>
    </row>
    <row r="7" spans="1:6">
      <c r="A7" s="92">
        <v>3</v>
      </c>
      <c r="B7" s="100" t="s">
        <v>118</v>
      </c>
      <c r="C7" s="107">
        <v>2</v>
      </c>
      <c r="D7" s="101" t="s">
        <v>119</v>
      </c>
      <c r="E7" s="98" t="s">
        <v>121</v>
      </c>
    </row>
    <row r="8" spans="1:6">
      <c r="A8" s="92"/>
      <c r="B8" s="100" t="s">
        <v>127</v>
      </c>
      <c r="C8" s="104"/>
      <c r="D8" s="101"/>
      <c r="E8" s="98"/>
    </row>
    <row r="9" spans="1:6" ht="19.5" thickBot="1">
      <c r="A9" s="92"/>
      <c r="B9" s="100" t="s">
        <v>128</v>
      </c>
      <c r="C9" s="106"/>
      <c r="D9" s="101"/>
      <c r="E9" s="99"/>
    </row>
    <row r="10" spans="1:6">
      <c r="A10" s="92" t="s">
        <v>65</v>
      </c>
      <c r="B10" s="133">
        <f>C6*C7</f>
        <v>4</v>
      </c>
      <c r="C10" s="134"/>
      <c r="D10" s="101" t="s">
        <v>124</v>
      </c>
      <c r="E10" s="99"/>
    </row>
    <row r="11" spans="1:6" ht="19.5" thickBot="1">
      <c r="A11" s="92" t="s">
        <v>69</v>
      </c>
      <c r="B11" s="135">
        <f>C6*(C7^2)</f>
        <v>8</v>
      </c>
      <c r="C11" s="136"/>
      <c r="D11" s="101" t="s">
        <v>125</v>
      </c>
      <c r="E11" s="95"/>
    </row>
    <row r="12" spans="1:6">
      <c r="B12" s="67"/>
      <c r="C12" s="67"/>
    </row>
    <row r="13" spans="1:6">
      <c r="A13" t="s">
        <v>42</v>
      </c>
      <c r="B13" s="86" t="s">
        <v>70</v>
      </c>
      <c r="C13" t="s">
        <v>71</v>
      </c>
    </row>
    <row r="14" spans="1:6">
      <c r="B14" s="86"/>
      <c r="C14">
        <v>0</v>
      </c>
      <c r="F14" t="s">
        <v>70</v>
      </c>
    </row>
    <row r="15" spans="1:6">
      <c r="A15">
        <v>0</v>
      </c>
      <c r="B15" s="73">
        <f t="shared" ref="B15:B46" si="0">_xlfn.BETA.DIST($C$5+A15,$C$6,$C$7,FALSE,0,100)</f>
        <v>0</v>
      </c>
      <c r="C15" s="73">
        <f t="shared" ref="C15:C46" si="1">_xlfn.BETA.DIST($C$5+A15,$C$6,$C$7,TRUE,0,100)</f>
        <v>0</v>
      </c>
    </row>
    <row r="16" spans="1:6">
      <c r="A16">
        <v>1</v>
      </c>
      <c r="B16" s="73">
        <f t="shared" ref="B16:B28" si="2">_xlfn.BETA.DIST($C$5+A16,$C$6,$C$7,FALSE,0,100)</f>
        <v>5.9399999999999991E-4</v>
      </c>
      <c r="C16" s="73">
        <f t="shared" si="1"/>
        <v>2.9800000000000025E-4</v>
      </c>
    </row>
    <row r="17" spans="1:3">
      <c r="A17">
        <v>2</v>
      </c>
      <c r="B17" s="73">
        <f t="shared" si="2"/>
        <v>1.176E-3</v>
      </c>
      <c r="C17" s="73">
        <f t="shared" si="1"/>
        <v>1.1840000000000004E-3</v>
      </c>
    </row>
    <row r="18" spans="1:3">
      <c r="A18">
        <v>3</v>
      </c>
      <c r="B18" s="73">
        <f t="shared" si="2"/>
        <v>1.7459999999999997E-3</v>
      </c>
      <c r="C18" s="73">
        <f t="shared" si="1"/>
        <v>2.6459999999999995E-3</v>
      </c>
    </row>
    <row r="19" spans="1:3">
      <c r="A19">
        <v>4</v>
      </c>
      <c r="B19" s="73">
        <f t="shared" si="2"/>
        <v>2.3039999999999996E-3</v>
      </c>
      <c r="C19" s="73">
        <f t="shared" si="1"/>
        <v>4.6720000000000025E-3</v>
      </c>
    </row>
    <row r="20" spans="1:3">
      <c r="A20">
        <v>5</v>
      </c>
      <c r="B20" s="73">
        <f t="shared" si="2"/>
        <v>2.8499999999999992E-3</v>
      </c>
      <c r="C20" s="73">
        <f t="shared" si="1"/>
        <v>7.2500000000000012E-3</v>
      </c>
    </row>
    <row r="21" spans="1:3">
      <c r="A21">
        <v>6</v>
      </c>
      <c r="B21" s="73">
        <f t="shared" si="2"/>
        <v>3.3840000000000003E-3</v>
      </c>
      <c r="C21" s="73">
        <f t="shared" si="1"/>
        <v>1.0367999999999999E-2</v>
      </c>
    </row>
    <row r="22" spans="1:3">
      <c r="A22">
        <v>7</v>
      </c>
      <c r="B22" s="73">
        <f t="shared" si="2"/>
        <v>3.9060000000000002E-3</v>
      </c>
      <c r="C22" s="73">
        <f t="shared" si="1"/>
        <v>1.4014000000000006E-2</v>
      </c>
    </row>
    <row r="23" spans="1:3">
      <c r="A23">
        <v>8</v>
      </c>
      <c r="B23" s="73">
        <f t="shared" si="2"/>
        <v>4.4159999999999998E-3</v>
      </c>
      <c r="C23" s="73">
        <f t="shared" si="1"/>
        <v>1.8175999999999991E-2</v>
      </c>
    </row>
    <row r="24" spans="1:3">
      <c r="A24">
        <v>9</v>
      </c>
      <c r="B24" s="73">
        <f t="shared" si="2"/>
        <v>4.9140000000000017E-3</v>
      </c>
      <c r="C24" s="73">
        <f t="shared" si="1"/>
        <v>2.2841999999999987E-2</v>
      </c>
    </row>
    <row r="25" spans="1:3">
      <c r="A25">
        <v>10</v>
      </c>
      <c r="B25" s="73">
        <f t="shared" si="2"/>
        <v>5.4000000000000003E-3</v>
      </c>
      <c r="C25" s="73">
        <f t="shared" si="1"/>
        <v>2.8000000000000011E-2</v>
      </c>
    </row>
    <row r="26" spans="1:3">
      <c r="A26">
        <v>11</v>
      </c>
      <c r="B26" s="73">
        <f t="shared" si="2"/>
        <v>5.873999999999999E-3</v>
      </c>
      <c r="C26" s="73">
        <f t="shared" si="1"/>
        <v>3.3638000000000001E-2</v>
      </c>
    </row>
    <row r="27" spans="1:3">
      <c r="A27">
        <v>12</v>
      </c>
      <c r="B27" s="73">
        <f t="shared" si="2"/>
        <v>6.3359999999999996E-3</v>
      </c>
      <c r="C27" s="73">
        <f t="shared" si="1"/>
        <v>3.9744000000000002E-2</v>
      </c>
    </row>
    <row r="28" spans="1:3">
      <c r="A28">
        <v>13</v>
      </c>
      <c r="B28" s="73">
        <f t="shared" si="2"/>
        <v>6.7860000000000012E-3</v>
      </c>
      <c r="C28" s="73">
        <f t="shared" si="1"/>
        <v>4.6306E-2</v>
      </c>
    </row>
    <row r="29" spans="1:3">
      <c r="A29">
        <v>14</v>
      </c>
      <c r="B29" s="73">
        <f t="shared" si="0"/>
        <v>7.2240000000000004E-3</v>
      </c>
      <c r="C29" s="73">
        <f t="shared" si="1"/>
        <v>5.3311999999999998E-2</v>
      </c>
    </row>
    <row r="30" spans="1:3">
      <c r="A30">
        <v>15</v>
      </c>
      <c r="B30" s="73">
        <f t="shared" si="0"/>
        <v>7.6500000000000005E-3</v>
      </c>
      <c r="C30" s="73">
        <f t="shared" si="1"/>
        <v>6.0750000000000005E-2</v>
      </c>
    </row>
    <row r="31" spans="1:3">
      <c r="A31">
        <v>16</v>
      </c>
      <c r="B31" s="73">
        <f t="shared" si="0"/>
        <v>8.0640000000000017E-3</v>
      </c>
      <c r="C31" s="73">
        <f t="shared" si="1"/>
        <v>6.8607999999999975E-2</v>
      </c>
    </row>
    <row r="32" spans="1:3">
      <c r="A32">
        <v>17</v>
      </c>
      <c r="B32" s="73">
        <f t="shared" si="0"/>
        <v>8.4660000000000013E-3</v>
      </c>
      <c r="C32" s="73">
        <f t="shared" si="1"/>
        <v>7.6874000000000012E-2</v>
      </c>
    </row>
    <row r="33" spans="1:3">
      <c r="A33">
        <v>18</v>
      </c>
      <c r="B33" s="73">
        <f t="shared" si="0"/>
        <v>8.856000000000001E-3</v>
      </c>
      <c r="C33" s="73">
        <f t="shared" si="1"/>
        <v>8.5536000000000015E-2</v>
      </c>
    </row>
    <row r="34" spans="1:3">
      <c r="A34">
        <v>19</v>
      </c>
      <c r="B34" s="73">
        <f t="shared" si="0"/>
        <v>9.2339999999999992E-3</v>
      </c>
      <c r="C34" s="73">
        <f t="shared" si="1"/>
        <v>9.4581999999999999E-2</v>
      </c>
    </row>
    <row r="35" spans="1:3">
      <c r="A35">
        <v>20</v>
      </c>
      <c r="B35" s="73">
        <f t="shared" si="0"/>
        <v>9.5999999999999992E-3</v>
      </c>
      <c r="C35" s="73">
        <f t="shared" si="1"/>
        <v>0.10400000000000002</v>
      </c>
    </row>
    <row r="36" spans="1:3">
      <c r="A36">
        <v>21</v>
      </c>
      <c r="B36" s="73">
        <f t="shared" si="0"/>
        <v>9.954000000000001E-3</v>
      </c>
      <c r="C36" s="73">
        <f t="shared" si="1"/>
        <v>0.113778</v>
      </c>
    </row>
    <row r="37" spans="1:3">
      <c r="A37">
        <v>22</v>
      </c>
      <c r="B37" s="73">
        <f t="shared" si="0"/>
        <v>1.0295999999999998E-2</v>
      </c>
      <c r="C37" s="73">
        <f t="shared" si="1"/>
        <v>0.12390399999999999</v>
      </c>
    </row>
    <row r="38" spans="1:3">
      <c r="A38">
        <v>23</v>
      </c>
      <c r="B38" s="73">
        <f t="shared" si="0"/>
        <v>1.0626E-2</v>
      </c>
      <c r="C38" s="73">
        <f t="shared" si="1"/>
        <v>0.13436599999999999</v>
      </c>
    </row>
    <row r="39" spans="1:3">
      <c r="A39">
        <v>24</v>
      </c>
      <c r="B39" s="73">
        <f t="shared" si="0"/>
        <v>1.0943999999999999E-2</v>
      </c>
      <c r="C39" s="73">
        <f t="shared" si="1"/>
        <v>0.14515199999999995</v>
      </c>
    </row>
    <row r="40" spans="1:3">
      <c r="A40">
        <v>25</v>
      </c>
      <c r="B40" s="73">
        <f t="shared" si="0"/>
        <v>1.1250000000000003E-2</v>
      </c>
      <c r="C40" s="73">
        <f t="shared" si="1"/>
        <v>0.15625</v>
      </c>
    </row>
    <row r="41" spans="1:3">
      <c r="A41">
        <v>26</v>
      </c>
      <c r="B41" s="73">
        <f t="shared" si="0"/>
        <v>1.1544E-2</v>
      </c>
      <c r="C41" s="73">
        <f t="shared" si="1"/>
        <v>0.16764800000000002</v>
      </c>
    </row>
    <row r="42" spans="1:3">
      <c r="A42">
        <v>27</v>
      </c>
      <c r="B42" s="73">
        <f t="shared" si="0"/>
        <v>1.1826000000000003E-2</v>
      </c>
      <c r="C42" s="73">
        <f t="shared" si="1"/>
        <v>0.17933399999999999</v>
      </c>
    </row>
    <row r="43" spans="1:3">
      <c r="A43">
        <v>28</v>
      </c>
      <c r="B43" s="73">
        <f t="shared" si="0"/>
        <v>1.2096000000000001E-2</v>
      </c>
      <c r="C43" s="73">
        <f t="shared" si="1"/>
        <v>0.19129600000000005</v>
      </c>
    </row>
    <row r="44" spans="1:3">
      <c r="A44">
        <v>29</v>
      </c>
      <c r="B44" s="73">
        <f t="shared" si="0"/>
        <v>1.2354E-2</v>
      </c>
      <c r="C44" s="73">
        <f t="shared" si="1"/>
        <v>0.20352199999999993</v>
      </c>
    </row>
    <row r="45" spans="1:3">
      <c r="A45">
        <v>30</v>
      </c>
      <c r="B45" s="73">
        <f t="shared" si="0"/>
        <v>1.26E-2</v>
      </c>
      <c r="C45" s="73">
        <f t="shared" si="1"/>
        <v>0.21599999999999994</v>
      </c>
    </row>
    <row r="46" spans="1:3">
      <c r="A46">
        <v>31</v>
      </c>
      <c r="B46" s="73">
        <f t="shared" si="0"/>
        <v>1.2833999999999998E-2</v>
      </c>
      <c r="C46" s="73">
        <f t="shared" si="1"/>
        <v>0.228718</v>
      </c>
    </row>
    <row r="47" spans="1:3">
      <c r="A47">
        <v>32</v>
      </c>
      <c r="B47" s="73">
        <f t="shared" ref="B47:B78" si="3">_xlfn.BETA.DIST($C$5+A47,$C$6,$C$7,FALSE,0,100)</f>
        <v>1.3056000000000002E-2</v>
      </c>
      <c r="C47" s="73">
        <f t="shared" ref="C47:C78" si="4">_xlfn.BETA.DIST($C$5+A47,$C$6,$C$7,TRUE,0,100)</f>
        <v>0.24166399999999996</v>
      </c>
    </row>
    <row r="48" spans="1:3">
      <c r="A48">
        <v>33</v>
      </c>
      <c r="B48" s="73">
        <f t="shared" si="3"/>
        <v>1.3266E-2</v>
      </c>
      <c r="C48" s="73">
        <f t="shared" si="4"/>
        <v>0.254826</v>
      </c>
    </row>
    <row r="49" spans="1:3">
      <c r="A49">
        <v>34</v>
      </c>
      <c r="B49" s="73">
        <f t="shared" si="3"/>
        <v>1.3464000000000002E-2</v>
      </c>
      <c r="C49" s="73">
        <f t="shared" si="4"/>
        <v>0.2681920000000001</v>
      </c>
    </row>
    <row r="50" spans="1:3">
      <c r="A50">
        <v>35</v>
      </c>
      <c r="B50" s="73">
        <f t="shared" si="3"/>
        <v>1.3650000000000001E-2</v>
      </c>
      <c r="C50" s="73">
        <f t="shared" si="4"/>
        <v>0.28174999999999994</v>
      </c>
    </row>
    <row r="51" spans="1:3">
      <c r="A51">
        <v>36</v>
      </c>
      <c r="B51" s="73">
        <f t="shared" si="3"/>
        <v>1.3823999999999998E-2</v>
      </c>
      <c r="C51" s="73">
        <f t="shared" si="4"/>
        <v>0.29548799999999997</v>
      </c>
    </row>
    <row r="52" spans="1:3">
      <c r="A52">
        <v>37</v>
      </c>
      <c r="B52" s="73">
        <f t="shared" si="3"/>
        <v>1.3986E-2</v>
      </c>
      <c r="C52" s="73">
        <f t="shared" si="4"/>
        <v>0.309394</v>
      </c>
    </row>
    <row r="53" spans="1:3">
      <c r="A53">
        <v>38</v>
      </c>
      <c r="B53" s="73">
        <f t="shared" si="3"/>
        <v>1.4136000000000003E-2</v>
      </c>
      <c r="C53" s="73">
        <f t="shared" si="4"/>
        <v>0.32345599999999997</v>
      </c>
    </row>
    <row r="54" spans="1:3">
      <c r="A54">
        <v>39</v>
      </c>
      <c r="B54" s="73">
        <f t="shared" si="3"/>
        <v>1.4274E-2</v>
      </c>
      <c r="C54" s="73">
        <f t="shared" si="4"/>
        <v>0.33766200000000002</v>
      </c>
    </row>
    <row r="55" spans="1:3">
      <c r="A55">
        <v>40</v>
      </c>
      <c r="B55" s="73">
        <f t="shared" si="3"/>
        <v>1.4400000000000001E-2</v>
      </c>
      <c r="C55" s="73">
        <f t="shared" si="4"/>
        <v>0.35199999999999998</v>
      </c>
    </row>
    <row r="56" spans="1:3">
      <c r="A56">
        <v>41</v>
      </c>
      <c r="B56" s="73">
        <f t="shared" si="3"/>
        <v>1.4514000000000001E-2</v>
      </c>
      <c r="C56" s="73">
        <f t="shared" si="4"/>
        <v>0.36645799999999995</v>
      </c>
    </row>
    <row r="57" spans="1:3">
      <c r="A57">
        <v>42</v>
      </c>
      <c r="B57" s="73">
        <f t="shared" si="3"/>
        <v>1.4616000000000001E-2</v>
      </c>
      <c r="C57" s="73">
        <f t="shared" si="4"/>
        <v>0.38102399999999992</v>
      </c>
    </row>
    <row r="58" spans="1:3">
      <c r="A58">
        <v>43</v>
      </c>
      <c r="B58" s="73">
        <f t="shared" si="3"/>
        <v>1.4706000000000002E-2</v>
      </c>
      <c r="C58" s="73">
        <f t="shared" si="4"/>
        <v>0.39568599999999998</v>
      </c>
    </row>
    <row r="59" spans="1:3">
      <c r="A59">
        <v>44</v>
      </c>
      <c r="B59" s="73">
        <f t="shared" si="3"/>
        <v>1.4783999999999999E-2</v>
      </c>
      <c r="C59" s="73">
        <f t="shared" si="4"/>
        <v>0.41043200000000002</v>
      </c>
    </row>
    <row r="60" spans="1:3">
      <c r="A60">
        <v>45</v>
      </c>
      <c r="B60" s="73">
        <f t="shared" si="3"/>
        <v>1.485E-2</v>
      </c>
      <c r="C60" s="73">
        <f t="shared" si="4"/>
        <v>0.42525000000000002</v>
      </c>
    </row>
    <row r="61" spans="1:3">
      <c r="A61">
        <v>46</v>
      </c>
      <c r="B61" s="73">
        <f t="shared" si="3"/>
        <v>1.4904000000000002E-2</v>
      </c>
      <c r="C61" s="73">
        <f t="shared" si="4"/>
        <v>0.44012800000000007</v>
      </c>
    </row>
    <row r="62" spans="1:3">
      <c r="A62">
        <v>47</v>
      </c>
      <c r="B62" s="73">
        <f t="shared" si="3"/>
        <v>1.4946000000000001E-2</v>
      </c>
      <c r="C62" s="73">
        <f t="shared" si="4"/>
        <v>0.45505399999999996</v>
      </c>
    </row>
    <row r="63" spans="1:3">
      <c r="A63">
        <v>48</v>
      </c>
      <c r="B63" s="73">
        <f t="shared" si="3"/>
        <v>1.4976E-2</v>
      </c>
      <c r="C63" s="73">
        <f t="shared" si="4"/>
        <v>0.47001599999999999</v>
      </c>
    </row>
    <row r="64" spans="1:3">
      <c r="A64">
        <v>49</v>
      </c>
      <c r="B64" s="73">
        <f t="shared" si="3"/>
        <v>1.4994E-2</v>
      </c>
      <c r="C64" s="73">
        <f t="shared" si="4"/>
        <v>0.48500199999999999</v>
      </c>
    </row>
    <row r="65" spans="1:3">
      <c r="A65">
        <v>50</v>
      </c>
      <c r="B65" s="73">
        <f t="shared" si="3"/>
        <v>1.4999999999999999E-2</v>
      </c>
      <c r="C65" s="73">
        <f t="shared" si="4"/>
        <v>0.5</v>
      </c>
    </row>
    <row r="66" spans="1:3">
      <c r="A66">
        <v>51</v>
      </c>
      <c r="B66" s="73">
        <f t="shared" si="3"/>
        <v>1.4994E-2</v>
      </c>
      <c r="C66" s="73">
        <f t="shared" si="4"/>
        <v>0.51499800000000007</v>
      </c>
    </row>
    <row r="67" spans="1:3">
      <c r="A67">
        <v>52</v>
      </c>
      <c r="B67" s="73">
        <f t="shared" si="3"/>
        <v>1.4976E-2</v>
      </c>
      <c r="C67" s="73">
        <f t="shared" si="4"/>
        <v>0.52998400000000001</v>
      </c>
    </row>
    <row r="68" spans="1:3">
      <c r="A68">
        <v>53</v>
      </c>
      <c r="B68" s="73">
        <f t="shared" si="3"/>
        <v>1.4946000000000001E-2</v>
      </c>
      <c r="C68" s="73">
        <f t="shared" si="4"/>
        <v>0.54494600000000004</v>
      </c>
    </row>
    <row r="69" spans="1:3">
      <c r="A69">
        <v>54</v>
      </c>
      <c r="B69" s="73">
        <f t="shared" si="3"/>
        <v>1.4904000000000002E-2</v>
      </c>
      <c r="C69" s="73">
        <f t="shared" si="4"/>
        <v>0.55987200000000004</v>
      </c>
    </row>
    <row r="70" spans="1:3">
      <c r="A70">
        <v>55</v>
      </c>
      <c r="B70" s="73">
        <f t="shared" si="3"/>
        <v>1.485E-2</v>
      </c>
      <c r="C70" s="73">
        <f t="shared" si="4"/>
        <v>0.57475000000000009</v>
      </c>
    </row>
    <row r="71" spans="1:3">
      <c r="A71">
        <v>56</v>
      </c>
      <c r="B71" s="73">
        <f t="shared" si="3"/>
        <v>1.4783999999999999E-2</v>
      </c>
      <c r="C71" s="73">
        <f t="shared" si="4"/>
        <v>0.58956800000000009</v>
      </c>
    </row>
    <row r="72" spans="1:3">
      <c r="A72">
        <v>57</v>
      </c>
      <c r="B72" s="73">
        <f t="shared" si="3"/>
        <v>1.4706000000000002E-2</v>
      </c>
      <c r="C72" s="73">
        <f t="shared" si="4"/>
        <v>0.60431399999999991</v>
      </c>
    </row>
    <row r="73" spans="1:3">
      <c r="A73">
        <v>58</v>
      </c>
      <c r="B73" s="73">
        <f t="shared" si="3"/>
        <v>1.4616000000000001E-2</v>
      </c>
      <c r="C73" s="73">
        <f t="shared" si="4"/>
        <v>0.61897599999999997</v>
      </c>
    </row>
    <row r="74" spans="1:3">
      <c r="A74">
        <v>59</v>
      </c>
      <c r="B74" s="73">
        <f t="shared" si="3"/>
        <v>1.4514000000000003E-2</v>
      </c>
      <c r="C74" s="73">
        <f t="shared" si="4"/>
        <v>0.63354200000000005</v>
      </c>
    </row>
    <row r="75" spans="1:3">
      <c r="A75">
        <v>60</v>
      </c>
      <c r="B75" s="73">
        <f t="shared" si="3"/>
        <v>1.4400000000000001E-2</v>
      </c>
      <c r="C75" s="73">
        <f t="shared" si="4"/>
        <v>0.64800000000000002</v>
      </c>
    </row>
    <row r="76" spans="1:3">
      <c r="A76">
        <v>61</v>
      </c>
      <c r="B76" s="73">
        <f t="shared" si="3"/>
        <v>1.4274E-2</v>
      </c>
      <c r="C76" s="73">
        <f t="shared" si="4"/>
        <v>0.66233799999999998</v>
      </c>
    </row>
    <row r="77" spans="1:3">
      <c r="A77">
        <v>62</v>
      </c>
      <c r="B77" s="73">
        <f t="shared" si="3"/>
        <v>1.4136000000000003E-2</v>
      </c>
      <c r="C77" s="73">
        <f t="shared" si="4"/>
        <v>0.67654400000000003</v>
      </c>
    </row>
    <row r="78" spans="1:3">
      <c r="A78">
        <v>63</v>
      </c>
      <c r="B78" s="73">
        <f t="shared" si="3"/>
        <v>1.3986E-2</v>
      </c>
      <c r="C78" s="73">
        <f t="shared" si="4"/>
        <v>0.69060600000000005</v>
      </c>
    </row>
    <row r="79" spans="1:3">
      <c r="A79">
        <v>64</v>
      </c>
      <c r="B79" s="73">
        <f t="shared" ref="B79:B110" si="5">_xlfn.BETA.DIST($C$5+A79,$C$6,$C$7,FALSE,0,100)</f>
        <v>1.3823999999999998E-2</v>
      </c>
      <c r="C79" s="73">
        <f t="shared" ref="C79:C115" si="6">_xlfn.BETA.DIST($C$5+A79,$C$6,$C$7,TRUE,0,100)</f>
        <v>0.70451200000000003</v>
      </c>
    </row>
    <row r="80" spans="1:3">
      <c r="A80">
        <v>65</v>
      </c>
      <c r="B80" s="73">
        <f t="shared" si="5"/>
        <v>1.3650000000000001E-2</v>
      </c>
      <c r="C80" s="73">
        <f t="shared" si="6"/>
        <v>0.71825000000000006</v>
      </c>
    </row>
    <row r="81" spans="1:3">
      <c r="A81">
        <v>66</v>
      </c>
      <c r="B81" s="73">
        <f t="shared" si="5"/>
        <v>1.3464E-2</v>
      </c>
      <c r="C81" s="73">
        <f t="shared" si="6"/>
        <v>0.73180800000000001</v>
      </c>
    </row>
    <row r="82" spans="1:3">
      <c r="A82">
        <v>67</v>
      </c>
      <c r="B82" s="73">
        <f t="shared" si="5"/>
        <v>1.3266E-2</v>
      </c>
      <c r="C82" s="73">
        <f t="shared" si="6"/>
        <v>0.74517400000000011</v>
      </c>
    </row>
    <row r="83" spans="1:3">
      <c r="A83">
        <v>68</v>
      </c>
      <c r="B83" s="73">
        <f t="shared" si="5"/>
        <v>1.3056000000000002E-2</v>
      </c>
      <c r="C83" s="73">
        <f t="shared" si="6"/>
        <v>0.75833600000000012</v>
      </c>
    </row>
    <row r="84" spans="1:3">
      <c r="A84">
        <v>69</v>
      </c>
      <c r="B84" s="73">
        <f t="shared" si="5"/>
        <v>1.2834000000000002E-2</v>
      </c>
      <c r="C84" s="73">
        <f t="shared" si="6"/>
        <v>0.77128199999999991</v>
      </c>
    </row>
    <row r="85" spans="1:3">
      <c r="A85">
        <v>70</v>
      </c>
      <c r="B85" s="73">
        <f t="shared" si="5"/>
        <v>1.26E-2</v>
      </c>
      <c r="C85" s="73">
        <f t="shared" si="6"/>
        <v>0.78400000000000003</v>
      </c>
    </row>
    <row r="86" spans="1:3">
      <c r="A86">
        <v>71</v>
      </c>
      <c r="B86" s="73">
        <f t="shared" si="5"/>
        <v>1.2354E-2</v>
      </c>
      <c r="C86" s="73">
        <f t="shared" si="6"/>
        <v>0.79647799999999991</v>
      </c>
    </row>
    <row r="87" spans="1:3">
      <c r="A87">
        <v>72</v>
      </c>
      <c r="B87" s="73">
        <f t="shared" si="5"/>
        <v>1.2096000000000001E-2</v>
      </c>
      <c r="C87" s="73">
        <f t="shared" si="6"/>
        <v>0.80870399999999998</v>
      </c>
    </row>
    <row r="88" spans="1:3">
      <c r="A88">
        <v>73</v>
      </c>
      <c r="B88" s="73">
        <f t="shared" si="5"/>
        <v>1.1826000000000003E-2</v>
      </c>
      <c r="C88" s="73">
        <f t="shared" si="6"/>
        <v>0.82066600000000001</v>
      </c>
    </row>
    <row r="89" spans="1:3">
      <c r="A89">
        <v>74</v>
      </c>
      <c r="B89" s="73">
        <f t="shared" si="5"/>
        <v>1.1544E-2</v>
      </c>
      <c r="C89" s="73">
        <f t="shared" si="6"/>
        <v>0.83235199999999998</v>
      </c>
    </row>
    <row r="90" spans="1:3">
      <c r="A90">
        <v>75</v>
      </c>
      <c r="B90" s="73">
        <f t="shared" si="5"/>
        <v>1.125E-2</v>
      </c>
      <c r="C90" s="73">
        <f t="shared" si="6"/>
        <v>0.84375</v>
      </c>
    </row>
    <row r="91" spans="1:3">
      <c r="A91">
        <v>76</v>
      </c>
      <c r="B91" s="73">
        <f t="shared" si="5"/>
        <v>1.0943999999999999E-2</v>
      </c>
      <c r="C91" s="73">
        <f t="shared" si="6"/>
        <v>0.85484800000000005</v>
      </c>
    </row>
    <row r="92" spans="1:3">
      <c r="A92">
        <v>77</v>
      </c>
      <c r="B92" s="73">
        <f t="shared" si="5"/>
        <v>1.0625999999999998E-2</v>
      </c>
      <c r="C92" s="73">
        <f t="shared" si="6"/>
        <v>0.86563400000000001</v>
      </c>
    </row>
    <row r="93" spans="1:3">
      <c r="A93">
        <v>78</v>
      </c>
      <c r="B93" s="73">
        <f t="shared" si="5"/>
        <v>1.0295999999999998E-2</v>
      </c>
      <c r="C93" s="73">
        <f t="shared" si="6"/>
        <v>0.87609599999999999</v>
      </c>
    </row>
    <row r="94" spans="1:3">
      <c r="A94">
        <v>79</v>
      </c>
      <c r="B94" s="73">
        <f t="shared" si="5"/>
        <v>9.9539999999999993E-3</v>
      </c>
      <c r="C94" s="73">
        <f t="shared" si="6"/>
        <v>0.88622200000000007</v>
      </c>
    </row>
    <row r="95" spans="1:3">
      <c r="A95">
        <v>80</v>
      </c>
      <c r="B95" s="73">
        <f t="shared" si="5"/>
        <v>9.5999999999999992E-3</v>
      </c>
      <c r="C95" s="73">
        <f t="shared" si="6"/>
        <v>0.89600000000000002</v>
      </c>
    </row>
    <row r="96" spans="1:3">
      <c r="A96">
        <v>81</v>
      </c>
      <c r="B96" s="73">
        <f t="shared" si="5"/>
        <v>9.2339999999999992E-3</v>
      </c>
      <c r="C96" s="73">
        <f t="shared" si="6"/>
        <v>0.90541800000000006</v>
      </c>
    </row>
    <row r="97" spans="1:3">
      <c r="A97">
        <v>82</v>
      </c>
      <c r="B97" s="73">
        <f t="shared" si="5"/>
        <v>8.8560000000000028E-3</v>
      </c>
      <c r="C97" s="73">
        <f t="shared" si="6"/>
        <v>0.91446399999999994</v>
      </c>
    </row>
    <row r="98" spans="1:3">
      <c r="A98">
        <v>83</v>
      </c>
      <c r="B98" s="73">
        <f t="shared" si="5"/>
        <v>8.4660000000000013E-3</v>
      </c>
      <c r="C98" s="73">
        <f t="shared" si="6"/>
        <v>0.92312599999999989</v>
      </c>
    </row>
    <row r="99" spans="1:3">
      <c r="A99">
        <v>84</v>
      </c>
      <c r="B99" s="73">
        <f t="shared" si="5"/>
        <v>8.0640000000000017E-3</v>
      </c>
      <c r="C99" s="73">
        <f t="shared" si="6"/>
        <v>0.931392</v>
      </c>
    </row>
    <row r="100" spans="1:3">
      <c r="A100">
        <v>85</v>
      </c>
      <c r="B100" s="73">
        <f t="shared" si="5"/>
        <v>7.6500000000000014E-3</v>
      </c>
      <c r="C100" s="73">
        <f t="shared" si="6"/>
        <v>0.93924999999999992</v>
      </c>
    </row>
    <row r="101" spans="1:3">
      <c r="A101">
        <v>86</v>
      </c>
      <c r="B101" s="73">
        <f t="shared" si="5"/>
        <v>7.2240000000000004E-3</v>
      </c>
      <c r="C101" s="73">
        <f t="shared" si="6"/>
        <v>0.94668799999999997</v>
      </c>
    </row>
    <row r="102" spans="1:3">
      <c r="A102">
        <v>87</v>
      </c>
      <c r="B102" s="73">
        <f t="shared" si="5"/>
        <v>6.7860000000000012E-3</v>
      </c>
      <c r="C102" s="73">
        <f t="shared" si="6"/>
        <v>0.95369400000000004</v>
      </c>
    </row>
    <row r="103" spans="1:3">
      <c r="A103">
        <v>88</v>
      </c>
      <c r="B103" s="73">
        <f t="shared" si="5"/>
        <v>6.3359999999999996E-3</v>
      </c>
      <c r="C103" s="73">
        <f t="shared" si="6"/>
        <v>0.960256</v>
      </c>
    </row>
    <row r="104" spans="1:3">
      <c r="A104">
        <v>89</v>
      </c>
      <c r="B104" s="73">
        <f t="shared" si="5"/>
        <v>5.873999999999999E-3</v>
      </c>
      <c r="C104" s="73">
        <f t="shared" si="6"/>
        <v>0.96636199999999994</v>
      </c>
    </row>
    <row r="105" spans="1:3">
      <c r="A105">
        <v>90</v>
      </c>
      <c r="B105" s="73">
        <f t="shared" si="5"/>
        <v>5.3999999999999986E-3</v>
      </c>
      <c r="C105" s="73">
        <f t="shared" si="6"/>
        <v>0.97199999999999998</v>
      </c>
    </row>
    <row r="106" spans="1:3">
      <c r="A106">
        <v>91</v>
      </c>
      <c r="B106" s="73">
        <f t="shared" si="5"/>
        <v>4.9139999999999991E-3</v>
      </c>
      <c r="C106" s="73">
        <f t="shared" si="6"/>
        <v>0.97715799999999997</v>
      </c>
    </row>
    <row r="107" spans="1:3">
      <c r="A107">
        <v>92</v>
      </c>
      <c r="B107" s="73">
        <f t="shared" si="5"/>
        <v>4.4159999999999981E-3</v>
      </c>
      <c r="C107" s="73">
        <f t="shared" si="6"/>
        <v>0.98182400000000003</v>
      </c>
    </row>
    <row r="108" spans="1:3">
      <c r="A108">
        <v>93</v>
      </c>
      <c r="B108" s="73">
        <f t="shared" si="5"/>
        <v>3.9059999999999984E-3</v>
      </c>
      <c r="C108" s="73">
        <f t="shared" si="6"/>
        <v>0.98598600000000003</v>
      </c>
    </row>
    <row r="109" spans="1:3">
      <c r="A109">
        <v>94</v>
      </c>
      <c r="B109" s="73">
        <f t="shared" si="5"/>
        <v>3.3840000000000033E-3</v>
      </c>
      <c r="C109" s="73">
        <f t="shared" si="6"/>
        <v>0.98963199999999996</v>
      </c>
    </row>
    <row r="110" spans="1:3">
      <c r="A110">
        <v>95</v>
      </c>
      <c r="B110" s="73">
        <f t="shared" si="5"/>
        <v>2.8500000000000018E-3</v>
      </c>
      <c r="C110" s="73">
        <f t="shared" si="6"/>
        <v>0.99275000000000002</v>
      </c>
    </row>
    <row r="111" spans="1:3">
      <c r="A111">
        <v>96</v>
      </c>
      <c r="B111" s="73">
        <f t="shared" ref="B111:B115" si="7">_xlfn.BETA.DIST($C$5+A111,$C$6,$C$7,FALSE,0,100)</f>
        <v>2.3040000000000018E-3</v>
      </c>
      <c r="C111" s="73">
        <f t="shared" si="6"/>
        <v>0.99532799999999999</v>
      </c>
    </row>
    <row r="112" spans="1:3">
      <c r="A112">
        <v>97</v>
      </c>
      <c r="B112" s="73">
        <f t="shared" si="7"/>
        <v>1.7460000000000015E-3</v>
      </c>
      <c r="C112" s="73">
        <f t="shared" si="6"/>
        <v>0.99735400000000007</v>
      </c>
    </row>
    <row r="113" spans="1:3">
      <c r="A113">
        <v>98</v>
      </c>
      <c r="B113" s="73">
        <f t="shared" si="7"/>
        <v>1.176000000000001E-3</v>
      </c>
      <c r="C113" s="73">
        <f t="shared" si="6"/>
        <v>0.99881599999999993</v>
      </c>
    </row>
    <row r="114" spans="1:3">
      <c r="A114">
        <v>99</v>
      </c>
      <c r="B114" s="73">
        <f t="shared" si="7"/>
        <v>5.9400000000000067E-4</v>
      </c>
      <c r="C114" s="73">
        <f t="shared" si="6"/>
        <v>0.99970199999999998</v>
      </c>
    </row>
    <row r="115" spans="1:3">
      <c r="A115">
        <v>100</v>
      </c>
      <c r="B115" s="73">
        <f t="shared" si="7"/>
        <v>0</v>
      </c>
      <c r="C115" s="73">
        <f t="shared" si="6"/>
        <v>1</v>
      </c>
    </row>
    <row r="116" spans="1:3">
      <c r="B116" s="73"/>
    </row>
  </sheetData>
  <mergeCells count="3">
    <mergeCell ref="B1:C1"/>
    <mergeCell ref="B10:C10"/>
    <mergeCell ref="B11:C1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0C44-3375-4C07-B7E7-0DC9148B12D2}">
  <dimension ref="B2:P18"/>
  <sheetViews>
    <sheetView tabSelected="1" topLeftCell="A4" workbookViewId="0">
      <selection activeCell="P14" sqref="P14"/>
    </sheetView>
  </sheetViews>
  <sheetFormatPr defaultRowHeight="18.75"/>
  <cols>
    <col min="2" max="2" width="4.625" customWidth="1"/>
    <col min="3" max="12" width="5.625" customWidth="1"/>
    <col min="13" max="13" width="10.625" customWidth="1"/>
    <col min="14" max="14" width="5.625" customWidth="1"/>
    <col min="15" max="15" width="4.625" customWidth="1"/>
    <col min="16" max="16" width="5.625" customWidth="1"/>
  </cols>
  <sheetData>
    <row r="2" spans="2:16" ht="36" customHeight="1"/>
    <row r="3" spans="2:16" ht="18" customHeight="1">
      <c r="D3" s="146" t="s">
        <v>129</v>
      </c>
      <c r="E3" s="147"/>
      <c r="F3" s="147"/>
      <c r="G3" s="147"/>
      <c r="H3" s="147"/>
      <c r="I3" s="147"/>
      <c r="J3" s="147"/>
      <c r="K3" s="147"/>
      <c r="L3" s="148"/>
      <c r="P3" s="124" t="s">
        <v>131</v>
      </c>
    </row>
    <row r="4" spans="2:16" ht="36" customHeight="1">
      <c r="D4" s="117">
        <v>1</v>
      </c>
      <c r="E4" s="117">
        <v>2</v>
      </c>
      <c r="F4" s="117">
        <v>3</v>
      </c>
      <c r="G4" s="117">
        <v>4</v>
      </c>
      <c r="H4" s="117">
        <v>5</v>
      </c>
      <c r="I4" s="117">
        <v>6</v>
      </c>
      <c r="J4" s="117">
        <v>7</v>
      </c>
      <c r="K4" s="117">
        <v>8</v>
      </c>
      <c r="L4" s="117">
        <v>9</v>
      </c>
      <c r="M4" s="109"/>
      <c r="P4" s="125">
        <v>9</v>
      </c>
    </row>
    <row r="5" spans="2:16" ht="36" customHeight="1">
      <c r="B5" s="143" t="s">
        <v>45</v>
      </c>
      <c r="C5" s="117">
        <v>1</v>
      </c>
      <c r="D5" s="111">
        <f t="shared" ref="D5:L13" si="0">1/90</f>
        <v>1.1111111111111112E-2</v>
      </c>
      <c r="E5" s="111">
        <f t="shared" si="0"/>
        <v>1.1111111111111112E-2</v>
      </c>
      <c r="F5" s="111">
        <f t="shared" si="0"/>
        <v>1.1111111111111112E-2</v>
      </c>
      <c r="G5" s="111">
        <f t="shared" si="0"/>
        <v>1.1111111111111112E-2</v>
      </c>
      <c r="H5" s="111">
        <f t="shared" si="0"/>
        <v>1.1111111111111112E-2</v>
      </c>
      <c r="I5" s="111">
        <f t="shared" si="0"/>
        <v>1.1111111111111112E-2</v>
      </c>
      <c r="J5" s="111">
        <f t="shared" si="0"/>
        <v>1.1111111111111112E-2</v>
      </c>
      <c r="K5" s="111">
        <f t="shared" si="0"/>
        <v>1.1111111111111112E-2</v>
      </c>
      <c r="L5" s="112">
        <f t="shared" si="0"/>
        <v>1.1111111111111112E-2</v>
      </c>
      <c r="M5" s="118">
        <f>SUM(D5:L5)</f>
        <v>0.1</v>
      </c>
      <c r="N5" s="137">
        <f>SUMPRODUCT(C5:C13,M5:M13)</f>
        <v>1.8333333333333333</v>
      </c>
      <c r="O5" s="129"/>
      <c r="P5" s="153" cm="1">
        <f t="array" ref="P5:P13">INDEX(D5:L13,0,P4)</f>
        <v>1.1111111111111112E-2</v>
      </c>
    </row>
    <row r="6" spans="2:16" ht="36" customHeight="1">
      <c r="B6" s="144"/>
      <c r="C6" s="117">
        <v>2</v>
      </c>
      <c r="D6" s="113"/>
      <c r="E6" s="113">
        <f t="shared" si="0"/>
        <v>1.1111111111111112E-2</v>
      </c>
      <c r="F6" s="113">
        <f t="shared" si="0"/>
        <v>1.1111111111111112E-2</v>
      </c>
      <c r="G6" s="113">
        <f t="shared" si="0"/>
        <v>1.1111111111111112E-2</v>
      </c>
      <c r="H6" s="113">
        <f t="shared" si="0"/>
        <v>1.1111111111111112E-2</v>
      </c>
      <c r="I6" s="113">
        <f t="shared" si="0"/>
        <v>1.1111111111111112E-2</v>
      </c>
      <c r="J6" s="113">
        <f t="shared" si="0"/>
        <v>1.1111111111111112E-2</v>
      </c>
      <c r="K6" s="113">
        <f t="shared" si="0"/>
        <v>1.1111111111111112E-2</v>
      </c>
      <c r="L6" s="114">
        <f t="shared" si="0"/>
        <v>1.1111111111111112E-2</v>
      </c>
      <c r="M6" s="121">
        <f>SUM(D6:L6)</f>
        <v>8.8888888888888892E-2</v>
      </c>
      <c r="N6" s="138"/>
      <c r="O6" s="130"/>
      <c r="P6" s="154">
        <v>1.1111111111111112E-2</v>
      </c>
    </row>
    <row r="7" spans="2:16" ht="36" customHeight="1">
      <c r="B7" s="144"/>
      <c r="C7" s="117">
        <v>3</v>
      </c>
      <c r="D7" s="113"/>
      <c r="E7" s="113"/>
      <c r="F7" s="113">
        <f t="shared" si="0"/>
        <v>1.1111111111111112E-2</v>
      </c>
      <c r="G7" s="113">
        <f t="shared" si="0"/>
        <v>1.1111111111111112E-2</v>
      </c>
      <c r="H7" s="113">
        <f t="shared" si="0"/>
        <v>1.1111111111111112E-2</v>
      </c>
      <c r="I7" s="113">
        <f t="shared" si="0"/>
        <v>1.1111111111111112E-2</v>
      </c>
      <c r="J7" s="113">
        <f t="shared" si="0"/>
        <v>1.1111111111111112E-2</v>
      </c>
      <c r="K7" s="113">
        <f t="shared" si="0"/>
        <v>1.1111111111111112E-2</v>
      </c>
      <c r="L7" s="114">
        <f t="shared" si="0"/>
        <v>1.1111111111111112E-2</v>
      </c>
      <c r="M7" s="121">
        <f>SUM(D7:L7)</f>
        <v>7.7777777777777779E-2</v>
      </c>
      <c r="N7" s="138"/>
      <c r="O7" s="130"/>
      <c r="P7" s="154">
        <v>1.1111111111111112E-2</v>
      </c>
    </row>
    <row r="8" spans="2:16" ht="36" customHeight="1">
      <c r="B8" s="144"/>
      <c r="C8" s="117">
        <v>4</v>
      </c>
      <c r="D8" s="113"/>
      <c r="E8" s="113"/>
      <c r="F8" s="113"/>
      <c r="G8" s="113">
        <f t="shared" si="0"/>
        <v>1.1111111111111112E-2</v>
      </c>
      <c r="H8" s="113">
        <f t="shared" si="0"/>
        <v>1.1111111111111112E-2</v>
      </c>
      <c r="I8" s="113">
        <f t="shared" si="0"/>
        <v>1.1111111111111112E-2</v>
      </c>
      <c r="J8" s="113">
        <f t="shared" si="0"/>
        <v>1.1111111111111112E-2</v>
      </c>
      <c r="K8" s="113">
        <f t="shared" si="0"/>
        <v>1.1111111111111112E-2</v>
      </c>
      <c r="L8" s="114">
        <f t="shared" si="0"/>
        <v>1.1111111111111112E-2</v>
      </c>
      <c r="M8" s="121">
        <f>SUM(D8:L8)</f>
        <v>6.6666666666666666E-2</v>
      </c>
      <c r="N8" s="138"/>
      <c r="O8" s="130"/>
      <c r="P8" s="154">
        <v>1.1111111111111112E-2</v>
      </c>
    </row>
    <row r="9" spans="2:16" ht="36" customHeight="1">
      <c r="B9" s="144"/>
      <c r="C9" s="117">
        <v>5</v>
      </c>
      <c r="D9" s="113"/>
      <c r="E9" s="113"/>
      <c r="F9" s="113"/>
      <c r="G9" s="113"/>
      <c r="H9" s="113">
        <f t="shared" si="0"/>
        <v>1.1111111111111112E-2</v>
      </c>
      <c r="I9" s="113">
        <f t="shared" si="0"/>
        <v>1.1111111111111112E-2</v>
      </c>
      <c r="J9" s="113">
        <f t="shared" si="0"/>
        <v>1.1111111111111112E-2</v>
      </c>
      <c r="K9" s="113">
        <f t="shared" si="0"/>
        <v>1.1111111111111112E-2</v>
      </c>
      <c r="L9" s="114">
        <f t="shared" si="0"/>
        <v>1.1111111111111112E-2</v>
      </c>
      <c r="M9" s="121">
        <f>SUM(D9:L9)</f>
        <v>5.5555555555555559E-2</v>
      </c>
      <c r="N9" s="138"/>
      <c r="O9" s="130"/>
      <c r="P9" s="154">
        <v>1.1111111111111112E-2</v>
      </c>
    </row>
    <row r="10" spans="2:16" ht="36" customHeight="1">
      <c r="B10" s="144"/>
      <c r="C10" s="117">
        <v>6</v>
      </c>
      <c r="D10" s="113"/>
      <c r="E10" s="113"/>
      <c r="F10" s="113"/>
      <c r="G10" s="113"/>
      <c r="H10" s="113"/>
      <c r="I10" s="113">
        <f t="shared" si="0"/>
        <v>1.1111111111111112E-2</v>
      </c>
      <c r="J10" s="113">
        <f t="shared" si="0"/>
        <v>1.1111111111111112E-2</v>
      </c>
      <c r="K10" s="113">
        <f t="shared" si="0"/>
        <v>1.1111111111111112E-2</v>
      </c>
      <c r="L10" s="114">
        <f t="shared" si="0"/>
        <v>1.1111111111111112E-2</v>
      </c>
      <c r="M10" s="121">
        <f>SUM(D10:L10)</f>
        <v>4.4444444444444446E-2</v>
      </c>
      <c r="N10" s="138"/>
      <c r="O10" s="130"/>
      <c r="P10" s="154">
        <v>1.1111111111111112E-2</v>
      </c>
    </row>
    <row r="11" spans="2:16" ht="36" customHeight="1">
      <c r="B11" s="144"/>
      <c r="C11" s="117">
        <v>7</v>
      </c>
      <c r="D11" s="113"/>
      <c r="E11" s="113"/>
      <c r="F11" s="113"/>
      <c r="G11" s="113"/>
      <c r="H11" s="113"/>
      <c r="I11" s="113"/>
      <c r="J11" s="113">
        <f t="shared" si="0"/>
        <v>1.1111111111111112E-2</v>
      </c>
      <c r="K11" s="113">
        <f t="shared" si="0"/>
        <v>1.1111111111111112E-2</v>
      </c>
      <c r="L11" s="114">
        <f t="shared" si="0"/>
        <v>1.1111111111111112E-2</v>
      </c>
      <c r="M11" s="121">
        <f>SUM(D11:L11)</f>
        <v>3.3333333333333333E-2</v>
      </c>
      <c r="N11" s="138"/>
      <c r="O11" s="130"/>
      <c r="P11" s="154">
        <v>1.1111111111111112E-2</v>
      </c>
    </row>
    <row r="12" spans="2:16" ht="36" customHeight="1">
      <c r="B12" s="144"/>
      <c r="C12" s="117">
        <v>8</v>
      </c>
      <c r="D12" s="113"/>
      <c r="E12" s="113"/>
      <c r="F12" s="113"/>
      <c r="G12" s="113"/>
      <c r="H12" s="113"/>
      <c r="I12" s="113"/>
      <c r="J12" s="113"/>
      <c r="K12" s="113">
        <f t="shared" si="0"/>
        <v>1.1111111111111112E-2</v>
      </c>
      <c r="L12" s="114">
        <f t="shared" si="0"/>
        <v>1.1111111111111112E-2</v>
      </c>
      <c r="M12" s="121">
        <f>SUM(D12:L12)</f>
        <v>2.2222222222222223E-2</v>
      </c>
      <c r="N12" s="138"/>
      <c r="O12" s="130"/>
      <c r="P12" s="154">
        <v>1.1111111111111112E-2</v>
      </c>
    </row>
    <row r="13" spans="2:16" ht="36" customHeight="1">
      <c r="B13" s="145"/>
      <c r="C13" s="117">
        <v>9</v>
      </c>
      <c r="D13" s="115"/>
      <c r="E13" s="115"/>
      <c r="F13" s="115"/>
      <c r="G13" s="115"/>
      <c r="H13" s="115"/>
      <c r="I13" s="115"/>
      <c r="J13" s="115"/>
      <c r="K13" s="115"/>
      <c r="L13" s="116">
        <f t="shared" si="0"/>
        <v>1.1111111111111112E-2</v>
      </c>
      <c r="M13" s="122">
        <f>SUM(D13:L13)</f>
        <v>1.1111111111111112E-2</v>
      </c>
      <c r="N13" s="139"/>
      <c r="O13" s="130"/>
      <c r="P13" s="155">
        <v>1.1111111111111112E-2</v>
      </c>
    </row>
    <row r="14" spans="2:16" ht="72" customHeight="1">
      <c r="D14" s="118">
        <f>SUM(D5:D13)</f>
        <v>1.1111111111111112E-2</v>
      </c>
      <c r="E14" s="119">
        <f t="shared" ref="E14:L14" si="1">SUM(E5:E13)</f>
        <v>2.2222222222222223E-2</v>
      </c>
      <c r="F14" s="119">
        <f t="shared" si="1"/>
        <v>3.3333333333333333E-2</v>
      </c>
      <c r="G14" s="119">
        <f t="shared" si="1"/>
        <v>4.4444444444444446E-2</v>
      </c>
      <c r="H14" s="119">
        <f t="shared" si="1"/>
        <v>5.5555555555555559E-2</v>
      </c>
      <c r="I14" s="119">
        <f t="shared" si="1"/>
        <v>6.6666666666666666E-2</v>
      </c>
      <c r="J14" s="119">
        <f t="shared" si="1"/>
        <v>7.7777777777777779E-2</v>
      </c>
      <c r="K14" s="119">
        <f t="shared" si="1"/>
        <v>8.8888888888888892E-2</v>
      </c>
      <c r="L14" s="120">
        <f t="shared" si="1"/>
        <v>0.1</v>
      </c>
      <c r="M14" s="110">
        <f>SUM(M5:M13,D14:L14)</f>
        <v>1</v>
      </c>
    </row>
    <row r="15" spans="2:16" ht="36" customHeight="1">
      <c r="D15" s="140">
        <f>SUMPRODUCT(D4:L4,D14:L14)</f>
        <v>3.1666666666666665</v>
      </c>
      <c r="E15" s="141"/>
      <c r="F15" s="141"/>
      <c r="G15" s="141"/>
      <c r="H15" s="141"/>
      <c r="I15" s="141"/>
      <c r="J15" s="141"/>
      <c r="K15" s="141"/>
      <c r="L15" s="142"/>
    </row>
    <row r="16" spans="2:16" ht="18" customHeight="1">
      <c r="D16" s="126">
        <f t="shared" ref="D16" si="2">D14-$D$15</f>
        <v>-3.1555555555555554</v>
      </c>
      <c r="E16" s="127">
        <f t="shared" ref="E16:L16" si="3">E14-$D$15</f>
        <v>-3.1444444444444444</v>
      </c>
      <c r="F16" s="127">
        <f t="shared" si="3"/>
        <v>-3.1333333333333333</v>
      </c>
      <c r="G16" s="127">
        <f t="shared" si="3"/>
        <v>-3.1222222222222222</v>
      </c>
      <c r="H16" s="127">
        <f t="shared" si="3"/>
        <v>-3.1111111111111112</v>
      </c>
      <c r="I16" s="127">
        <f t="shared" si="3"/>
        <v>-3.0999999999999996</v>
      </c>
      <c r="J16" s="127">
        <f t="shared" si="3"/>
        <v>-3.0888888888888886</v>
      </c>
      <c r="K16" s="127">
        <f t="shared" si="3"/>
        <v>-3.0777777777777775</v>
      </c>
      <c r="L16" s="128">
        <f t="shared" si="3"/>
        <v>-3.0666666666666664</v>
      </c>
      <c r="M16" s="72"/>
      <c r="O16" s="131"/>
    </row>
    <row r="18" spans="2:12" ht="36" customHeight="1">
      <c r="B18" s="123" t="s">
        <v>130</v>
      </c>
      <c r="C18" s="152">
        <v>9</v>
      </c>
      <c r="D18" s="149" cm="1">
        <f t="array" ref="D18:L18">INDEX(D5:L13,C18,0)</f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1">
        <v>1.1111111111111112E-2</v>
      </c>
    </row>
  </sheetData>
  <mergeCells count="4">
    <mergeCell ref="N5:N13"/>
    <mergeCell ref="D15:L15"/>
    <mergeCell ref="B5:B13"/>
    <mergeCell ref="D3:L3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 (3)</vt:lpstr>
      <vt:lpstr>Sheet1</vt:lpstr>
      <vt:lpstr>決定係数</vt:lpstr>
      <vt:lpstr>全確率の公式</vt:lpstr>
      <vt:lpstr>Sheet1 (2)</vt:lpstr>
      <vt:lpstr>超幾何分布</vt:lpstr>
      <vt:lpstr>二項分布</vt:lpstr>
      <vt:lpstr>ポアソン分布</vt:lpstr>
      <vt:lpstr>幾何分布</vt:lpstr>
      <vt:lpstr>負の二項分布</vt:lpstr>
      <vt:lpstr>離散型一様分布</vt:lpstr>
      <vt:lpstr>正規分布</vt:lpstr>
      <vt:lpstr>指数分布</vt:lpstr>
      <vt:lpstr>Γ分布</vt:lpstr>
      <vt:lpstr>β分布</vt:lpstr>
      <vt:lpstr>同時確率分布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林祐作</dc:creator>
  <cp:lastModifiedBy>yuusaku.hayashi</cp:lastModifiedBy>
  <dcterms:created xsi:type="dcterms:W3CDTF">2015-06-05T18:19:34Z</dcterms:created>
  <dcterms:modified xsi:type="dcterms:W3CDTF">2020-05-04T15:55:12Z</dcterms:modified>
</cp:coreProperties>
</file>